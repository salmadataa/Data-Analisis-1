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Salma\porto\EXCEL\"/>
    </mc:Choice>
  </mc:AlternateContent>
  <xr:revisionPtr revIDLastSave="0" documentId="13_ncr:1_{52B08651-FD98-4401-B3F4-E275FA3B8048}" xr6:coauthVersionLast="47" xr6:coauthVersionMax="47" xr10:uidLastSave="{00000000-0000-0000-0000-000000000000}"/>
  <bookViews>
    <workbookView xWindow="-108" yWindow="-108" windowWidth="23256" windowHeight="12456" xr2:uid="{A5B9BCA5-345A-489E-A13C-36AECF08CF2B}"/>
  </bookViews>
  <sheets>
    <sheet name="Overview" sheetId="2" r:id="rId1"/>
    <sheet name="Analyze Data" sheetId="1" r:id="rId2"/>
  </sheets>
  <definedNames>
    <definedName name="_xlchart.v1.0" hidden="1">Overview!$C$2:$C$151</definedName>
    <definedName name="_xlchart.v1.1" hidden="1">Overview!$D$2:$D$151</definedName>
    <definedName name="_xlchart.v1.2" hidden="1">Overview!$D$2:$D$151</definedName>
    <definedName name="ExternalData_1" localSheetId="0" hidden="1">Overview!$A$1:$D$151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" i="2" l="1"/>
  <c r="U28" i="2"/>
  <c r="T28" i="2"/>
  <c r="V27" i="2"/>
  <c r="V26" i="2"/>
  <c r="V25" i="2"/>
  <c r="Q25" i="2"/>
  <c r="Q28" i="2" s="1"/>
  <c r="U27" i="2"/>
  <c r="U26" i="2"/>
  <c r="U25" i="2"/>
  <c r="P25" i="2"/>
  <c r="P28" i="2" s="1"/>
  <c r="T27" i="2"/>
  <c r="T26" i="2"/>
  <c r="T25" i="2"/>
  <c r="O25" i="2"/>
  <c r="O28" i="2" s="1"/>
  <c r="Q27" i="2"/>
  <c r="Q26" i="2"/>
  <c r="P27" i="2"/>
  <c r="P26" i="2"/>
  <c r="O27" i="2"/>
  <c r="O26" i="2"/>
  <c r="U21" i="2"/>
  <c r="U20" i="2"/>
  <c r="U19" i="2"/>
  <c r="U15" i="2"/>
  <c r="U14" i="2"/>
  <c r="U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3409C4-1579-47CE-BB2C-3AF1F3B0218C}" keepAlive="1" name="Query - student_combined_data" description="Connection to the 'student_combined_data' query in the workbook." type="5" refreshedVersion="8" background="1" saveData="1">
    <dbPr connection="Provider=Microsoft.Mashup.OleDb.1;Data Source=$Workbook$;Location=student_combined_data;Extended Properties=&quot;&quot;" command="SELECT * FROM [student_combined_data]"/>
  </connection>
</connections>
</file>

<file path=xl/sharedStrings.xml><?xml version="1.0" encoding="utf-8"?>
<sst xmlns="http://schemas.openxmlformats.org/spreadsheetml/2006/main" count="244" uniqueCount="48">
  <si>
    <t>student_id</t>
  </si>
  <si>
    <t>course_level</t>
  </si>
  <si>
    <t>performance_score</t>
  </si>
  <si>
    <t>aptitude_score</t>
  </si>
  <si>
    <t>Advanced</t>
  </si>
  <si>
    <t>Intermediate</t>
  </si>
  <si>
    <t>Foundation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</si>
  <si>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</si>
  <si>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</si>
  <si>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</si>
  <si>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</si>
  <si>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</si>
  <si>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</si>
  <si>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</si>
  <si>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</si>
  <si>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</si>
  <si>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</si>
  <si>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</si>
  <si>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</si>
  <si>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</si>
  <si>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</si>
  <si>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</si>
  <si>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Level(95,0%)</t>
  </si>
  <si>
    <t>Data Type</t>
  </si>
  <si>
    <t>Whole number</t>
  </si>
  <si>
    <t>Text</t>
  </si>
  <si>
    <t>1. Do students with different performance levels enroll in different course levels?</t>
  </si>
  <si>
    <t>2. Are there significant differences in aptitude scores across course levels?</t>
  </si>
  <si>
    <t>3. What is the correlation between aptitude scores and performance?</t>
  </si>
  <si>
    <t>4. What are the implications for course placement and program quality?</t>
  </si>
  <si>
    <t>Course Level</t>
  </si>
  <si>
    <t>Percentile</t>
  </si>
  <si>
    <t>Min</t>
  </si>
  <si>
    <t>Max</t>
  </si>
  <si>
    <t>Q1</t>
  </si>
  <si>
    <t>Q3</t>
  </si>
  <si>
    <t>Total</t>
  </si>
  <si>
    <t>Rata Rata</t>
  </si>
  <si>
    <t xml:space="preserve">Min </t>
  </si>
  <si>
    <t>Standar Deviasi</t>
  </si>
  <si>
    <t xml:space="preserve">Jumlah </t>
  </si>
  <si>
    <t>Jumlah</t>
  </si>
  <si>
    <t>Rata rata</t>
  </si>
  <si>
    <t>Performance</t>
  </si>
  <si>
    <t>Aptitude</t>
  </si>
  <si>
    <t>Q2 (median)</t>
  </si>
  <si>
    <t>IQR</t>
  </si>
  <si>
    <t>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</si>
</sst>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  <xf numFmtId="0" fontId="0" fillId="0" borderId="3" xfId="0" applyBorder="1"/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Performance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Performance</a:t>
          </a:r>
        </a:p>
      </cx:txPr>
    </cx:title>
    <cx:plotArea>
      <cx:plotAreaRegion>
        <cx:series layoutId="clusteredColumn" uniqueId="{4CED7ADC-8540-41B3-B598-6F932E1B1D4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Aptitude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Aptitude</a:t>
          </a:r>
        </a:p>
      </cx:txPr>
    </cx:title>
    <cx:plotArea>
      <cx:plotAreaRegion>
        <cx:series layoutId="clusteredColumn" uniqueId="{F26C9D26-4080-4D37-BC62-F58CE617562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30</xdr:row>
      <xdr:rowOff>0</xdr:rowOff>
    </xdr:from>
    <xdr:to>
      <xdr:col>9</xdr:col>
      <xdr:colOff>998220</xdr:colOff>
      <xdr:row>40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138AF3F-7155-45C6-8669-F72C17B640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96940" y="5501640"/>
              <a:ext cx="3604260" cy="1897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228600</xdr:colOff>
      <xdr:row>30</xdr:row>
      <xdr:rowOff>0</xdr:rowOff>
    </xdr:from>
    <xdr:to>
      <xdr:col>13</xdr:col>
      <xdr:colOff>777240</xdr:colOff>
      <xdr:row>40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728F2A4-925C-40F7-88F1-273D4FF812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90760" y="5501640"/>
              <a:ext cx="4312920" cy="1920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8.337774768515" createdVersion="8" refreshedVersion="8" minRefreshableVersion="3" recordCount="150" xr:uid="{2D3C79C1-C2A4-4808-A06C-12DF56580B51}">
  <cacheSource type="worksheet">
    <worksheetSource name="student_combined_data"/>
  </cacheSource>
  <cacheFields count="4">
    <cacheField name="student_id" numFmtId="0">
      <sharedItems containsSemiMixedTypes="0" containsString="0" containsNumber="1" containsInteger="1" minValue="1" maxValue="150"/>
    </cacheField>
    <cacheField name="course_level" numFmtId="0">
      <sharedItems count="3">
        <s v="Advanced"/>
        <s v="Intermediate"/>
        <s v="Foundation"/>
      </sharedItems>
    </cacheField>
    <cacheField name="performance_score" numFmtId="0">
      <sharedItems containsSemiMixedTypes="0" containsString="0" containsNumber="1" containsInteger="1" minValue="155" maxValue="380" count="45">
        <n v="370"/>
        <n v="365"/>
        <n v="355"/>
        <n v="345"/>
        <n v="375"/>
        <n v="360"/>
        <n v="340"/>
        <n v="310"/>
        <n v="380"/>
        <n v="265"/>
        <n v="315"/>
        <n v="305"/>
        <n v="280"/>
        <n v="335"/>
        <n v="295"/>
        <n v="300"/>
        <n v="285"/>
        <n v="320"/>
        <n v="275"/>
        <n v="250"/>
        <n v="255"/>
        <n v="235"/>
        <n v="350"/>
        <n v="260"/>
        <n v="205"/>
        <n v="290"/>
        <n v="330"/>
        <n v="230"/>
        <n v="270"/>
        <n v="190"/>
        <n v="220"/>
        <n v="215"/>
        <n v="245"/>
        <n v="225"/>
        <n v="240"/>
        <n v="200"/>
        <n v="180"/>
        <n v="175"/>
        <n v="185"/>
        <n v="170"/>
        <n v="165"/>
        <n v="195"/>
        <n v="160"/>
        <n v="210"/>
        <n v="155"/>
      </sharedItems>
    </cacheField>
    <cacheField name="aptitude_score" numFmtId="0">
      <sharedItems containsSemiMixedTypes="0" containsString="0" containsNumber="1" containsInteger="1" minValue="9" maxValue="97" count="70">
        <n v="72"/>
        <n v="90"/>
        <n v="68"/>
        <n v="84"/>
        <n v="83"/>
        <n v="81"/>
        <n v="79"/>
        <n v="89"/>
        <n v="94"/>
        <n v="52"/>
        <n v="88"/>
        <n v="87"/>
        <n v="86"/>
        <n v="66"/>
        <n v="91"/>
        <n v="71"/>
        <n v="97"/>
        <n v="56"/>
        <n v="30"/>
        <n v="55"/>
        <n v="36"/>
        <n v="45"/>
        <n v="33"/>
        <n v="64"/>
        <n v="65"/>
        <n v="61"/>
        <n v="75"/>
        <n v="50"/>
        <n v="92"/>
        <n v="40"/>
        <n v="37"/>
        <n v="47"/>
        <n v="69"/>
        <n v="48"/>
        <n v="74"/>
        <n v="67"/>
        <n v="49"/>
        <n v="46"/>
        <n v="51"/>
        <n v="31"/>
        <n v="38"/>
        <n v="57"/>
        <n v="59"/>
        <n v="32"/>
        <n v="54"/>
        <n v="43"/>
        <n v="62"/>
        <n v="18"/>
        <n v="42"/>
        <n v="21"/>
        <n v="23"/>
        <n v="25"/>
        <n v="19"/>
        <n v="44"/>
        <n v="22"/>
        <n v="24"/>
        <n v="29"/>
        <n v="41"/>
        <n v="14"/>
        <n v="35"/>
        <n v="20"/>
        <n v="17"/>
        <n v="13"/>
        <n v="12"/>
        <n v="26"/>
        <n v="16"/>
        <n v="28"/>
        <n v="27"/>
        <n v="9"/>
        <n v="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x v="0"/>
    <x v="0"/>
    <x v="0"/>
  </r>
  <r>
    <n v="2"/>
    <x v="0"/>
    <x v="1"/>
    <x v="1"/>
  </r>
  <r>
    <n v="3"/>
    <x v="0"/>
    <x v="2"/>
    <x v="2"/>
  </r>
  <r>
    <n v="4"/>
    <x v="0"/>
    <x v="3"/>
    <x v="3"/>
  </r>
  <r>
    <n v="5"/>
    <x v="0"/>
    <x v="2"/>
    <x v="0"/>
  </r>
  <r>
    <n v="6"/>
    <x v="0"/>
    <x v="2"/>
    <x v="4"/>
  </r>
  <r>
    <n v="7"/>
    <x v="0"/>
    <x v="4"/>
    <x v="4"/>
  </r>
  <r>
    <n v="8"/>
    <x v="0"/>
    <x v="5"/>
    <x v="5"/>
  </r>
  <r>
    <n v="9"/>
    <x v="0"/>
    <x v="3"/>
    <x v="6"/>
  </r>
  <r>
    <n v="10"/>
    <x v="0"/>
    <x v="2"/>
    <x v="7"/>
  </r>
  <r>
    <n v="11"/>
    <x v="0"/>
    <x v="6"/>
    <x v="8"/>
  </r>
  <r>
    <n v="12"/>
    <x v="0"/>
    <x v="7"/>
    <x v="9"/>
  </r>
  <r>
    <n v="13"/>
    <x v="0"/>
    <x v="4"/>
    <x v="5"/>
  </r>
  <r>
    <n v="14"/>
    <x v="0"/>
    <x v="5"/>
    <x v="2"/>
  </r>
  <r>
    <n v="15"/>
    <x v="0"/>
    <x v="8"/>
    <x v="10"/>
  </r>
  <r>
    <n v="16"/>
    <x v="0"/>
    <x v="2"/>
    <x v="11"/>
  </r>
  <r>
    <n v="17"/>
    <x v="0"/>
    <x v="2"/>
    <x v="12"/>
  </r>
  <r>
    <n v="18"/>
    <x v="0"/>
    <x v="7"/>
    <x v="13"/>
  </r>
  <r>
    <n v="19"/>
    <x v="0"/>
    <x v="2"/>
    <x v="14"/>
  </r>
  <r>
    <n v="20"/>
    <x v="0"/>
    <x v="5"/>
    <x v="8"/>
  </r>
  <r>
    <n v="21"/>
    <x v="0"/>
    <x v="2"/>
    <x v="15"/>
  </r>
  <r>
    <n v="22"/>
    <x v="0"/>
    <x v="5"/>
    <x v="16"/>
  </r>
  <r>
    <n v="23"/>
    <x v="0"/>
    <x v="3"/>
    <x v="17"/>
  </r>
  <r>
    <n v="24"/>
    <x v="0"/>
    <x v="1"/>
    <x v="8"/>
  </r>
  <r>
    <n v="25"/>
    <x v="0"/>
    <x v="3"/>
    <x v="6"/>
  </r>
  <r>
    <n v="26"/>
    <x v="0"/>
    <x v="9"/>
    <x v="18"/>
  </r>
  <r>
    <n v="27"/>
    <x v="0"/>
    <x v="10"/>
    <x v="19"/>
  </r>
  <r>
    <n v="28"/>
    <x v="0"/>
    <x v="11"/>
    <x v="20"/>
  </r>
  <r>
    <n v="29"/>
    <x v="0"/>
    <x v="11"/>
    <x v="21"/>
  </r>
  <r>
    <n v="30"/>
    <x v="0"/>
    <x v="12"/>
    <x v="22"/>
  </r>
  <r>
    <n v="31"/>
    <x v="0"/>
    <x v="13"/>
    <x v="5"/>
  </r>
  <r>
    <n v="32"/>
    <x v="0"/>
    <x v="14"/>
    <x v="23"/>
  </r>
  <r>
    <n v="33"/>
    <x v="0"/>
    <x v="15"/>
    <x v="24"/>
  </r>
  <r>
    <n v="34"/>
    <x v="0"/>
    <x v="11"/>
    <x v="21"/>
  </r>
  <r>
    <n v="35"/>
    <x v="0"/>
    <x v="16"/>
    <x v="25"/>
  </r>
  <r>
    <n v="36"/>
    <x v="0"/>
    <x v="9"/>
    <x v="26"/>
  </r>
  <r>
    <n v="37"/>
    <x v="0"/>
    <x v="17"/>
    <x v="27"/>
  </r>
  <r>
    <n v="38"/>
    <x v="0"/>
    <x v="15"/>
    <x v="0"/>
  </r>
  <r>
    <n v="39"/>
    <x v="0"/>
    <x v="5"/>
    <x v="28"/>
  </r>
  <r>
    <n v="40"/>
    <x v="0"/>
    <x v="18"/>
    <x v="29"/>
  </r>
  <r>
    <n v="41"/>
    <x v="0"/>
    <x v="19"/>
    <x v="20"/>
  </r>
  <r>
    <n v="42"/>
    <x v="0"/>
    <x v="9"/>
    <x v="27"/>
  </r>
  <r>
    <n v="43"/>
    <x v="0"/>
    <x v="18"/>
    <x v="30"/>
  </r>
  <r>
    <n v="44"/>
    <x v="0"/>
    <x v="14"/>
    <x v="31"/>
  </r>
  <r>
    <n v="45"/>
    <x v="0"/>
    <x v="18"/>
    <x v="24"/>
  </r>
  <r>
    <n v="46"/>
    <x v="0"/>
    <x v="14"/>
    <x v="31"/>
  </r>
  <r>
    <n v="47"/>
    <x v="0"/>
    <x v="1"/>
    <x v="26"/>
  </r>
  <r>
    <n v="48"/>
    <x v="0"/>
    <x v="20"/>
    <x v="27"/>
  </r>
  <r>
    <n v="49"/>
    <x v="0"/>
    <x v="12"/>
    <x v="32"/>
  </r>
  <r>
    <n v="50"/>
    <x v="0"/>
    <x v="12"/>
    <x v="33"/>
  </r>
  <r>
    <n v="51"/>
    <x v="1"/>
    <x v="20"/>
    <x v="34"/>
  </r>
  <r>
    <n v="52"/>
    <x v="1"/>
    <x v="21"/>
    <x v="20"/>
  </r>
  <r>
    <n v="53"/>
    <x v="1"/>
    <x v="9"/>
    <x v="27"/>
  </r>
  <r>
    <n v="54"/>
    <x v="1"/>
    <x v="22"/>
    <x v="35"/>
  </r>
  <r>
    <n v="55"/>
    <x v="1"/>
    <x v="23"/>
    <x v="24"/>
  </r>
  <r>
    <n v="56"/>
    <x v="1"/>
    <x v="19"/>
    <x v="24"/>
  </r>
  <r>
    <n v="57"/>
    <x v="1"/>
    <x v="12"/>
    <x v="36"/>
  </r>
  <r>
    <n v="58"/>
    <x v="1"/>
    <x v="9"/>
    <x v="37"/>
  </r>
  <r>
    <n v="59"/>
    <x v="1"/>
    <x v="9"/>
    <x v="9"/>
  </r>
  <r>
    <n v="60"/>
    <x v="1"/>
    <x v="12"/>
    <x v="38"/>
  </r>
  <r>
    <n v="61"/>
    <x v="1"/>
    <x v="24"/>
    <x v="39"/>
  </r>
  <r>
    <n v="62"/>
    <x v="1"/>
    <x v="25"/>
    <x v="40"/>
  </r>
  <r>
    <n v="63"/>
    <x v="1"/>
    <x v="12"/>
    <x v="41"/>
  </r>
  <r>
    <n v="64"/>
    <x v="1"/>
    <x v="18"/>
    <x v="9"/>
  </r>
  <r>
    <n v="65"/>
    <x v="1"/>
    <x v="12"/>
    <x v="42"/>
  </r>
  <r>
    <n v="66"/>
    <x v="1"/>
    <x v="24"/>
    <x v="43"/>
  </r>
  <r>
    <n v="67"/>
    <x v="1"/>
    <x v="25"/>
    <x v="40"/>
  </r>
  <r>
    <n v="68"/>
    <x v="1"/>
    <x v="10"/>
    <x v="32"/>
  </r>
  <r>
    <n v="69"/>
    <x v="1"/>
    <x v="7"/>
    <x v="44"/>
  </r>
  <r>
    <n v="70"/>
    <x v="1"/>
    <x v="26"/>
    <x v="10"/>
  </r>
  <r>
    <n v="71"/>
    <x v="1"/>
    <x v="27"/>
    <x v="29"/>
  </r>
  <r>
    <n v="72"/>
    <x v="1"/>
    <x v="9"/>
    <x v="24"/>
  </r>
  <r>
    <n v="73"/>
    <x v="1"/>
    <x v="2"/>
    <x v="1"/>
  </r>
  <r>
    <n v="74"/>
    <x v="1"/>
    <x v="28"/>
    <x v="45"/>
  </r>
  <r>
    <n v="75"/>
    <x v="1"/>
    <x v="9"/>
    <x v="46"/>
  </r>
  <r>
    <n v="76"/>
    <x v="1"/>
    <x v="24"/>
    <x v="47"/>
  </r>
  <r>
    <n v="77"/>
    <x v="1"/>
    <x v="29"/>
    <x v="48"/>
  </r>
  <r>
    <n v="78"/>
    <x v="1"/>
    <x v="30"/>
    <x v="22"/>
  </r>
  <r>
    <n v="79"/>
    <x v="1"/>
    <x v="27"/>
    <x v="49"/>
  </r>
  <r>
    <n v="80"/>
    <x v="1"/>
    <x v="21"/>
    <x v="47"/>
  </r>
  <r>
    <n v="81"/>
    <x v="1"/>
    <x v="23"/>
    <x v="50"/>
  </r>
  <r>
    <n v="82"/>
    <x v="1"/>
    <x v="31"/>
    <x v="51"/>
  </r>
  <r>
    <n v="83"/>
    <x v="1"/>
    <x v="31"/>
    <x v="52"/>
  </r>
  <r>
    <n v="84"/>
    <x v="1"/>
    <x v="24"/>
    <x v="53"/>
  </r>
  <r>
    <n v="85"/>
    <x v="1"/>
    <x v="31"/>
    <x v="48"/>
  </r>
  <r>
    <n v="86"/>
    <x v="1"/>
    <x v="21"/>
    <x v="22"/>
  </r>
  <r>
    <n v="87"/>
    <x v="1"/>
    <x v="32"/>
    <x v="54"/>
  </r>
  <r>
    <n v="88"/>
    <x v="1"/>
    <x v="33"/>
    <x v="55"/>
  </r>
  <r>
    <n v="89"/>
    <x v="1"/>
    <x v="34"/>
    <x v="21"/>
  </r>
  <r>
    <n v="90"/>
    <x v="1"/>
    <x v="12"/>
    <x v="56"/>
  </r>
  <r>
    <n v="91"/>
    <x v="1"/>
    <x v="14"/>
    <x v="57"/>
  </r>
  <r>
    <n v="92"/>
    <x v="1"/>
    <x v="29"/>
    <x v="58"/>
  </r>
  <r>
    <n v="93"/>
    <x v="1"/>
    <x v="33"/>
    <x v="30"/>
  </r>
  <r>
    <n v="94"/>
    <x v="1"/>
    <x v="30"/>
    <x v="59"/>
  </r>
  <r>
    <n v="95"/>
    <x v="1"/>
    <x v="33"/>
    <x v="60"/>
  </r>
  <r>
    <n v="96"/>
    <x v="1"/>
    <x v="34"/>
    <x v="39"/>
  </r>
  <r>
    <n v="97"/>
    <x v="1"/>
    <x v="20"/>
    <x v="41"/>
  </r>
  <r>
    <n v="98"/>
    <x v="1"/>
    <x v="27"/>
    <x v="61"/>
  </r>
  <r>
    <n v="99"/>
    <x v="1"/>
    <x v="35"/>
    <x v="43"/>
  </r>
  <r>
    <n v="100"/>
    <x v="1"/>
    <x v="33"/>
    <x v="48"/>
  </r>
  <r>
    <n v="101"/>
    <x v="2"/>
    <x v="36"/>
    <x v="60"/>
  </r>
  <r>
    <n v="102"/>
    <x v="2"/>
    <x v="29"/>
    <x v="62"/>
  </r>
  <r>
    <n v="103"/>
    <x v="2"/>
    <x v="35"/>
    <x v="63"/>
  </r>
  <r>
    <n v="104"/>
    <x v="2"/>
    <x v="32"/>
    <x v="49"/>
  </r>
  <r>
    <n v="105"/>
    <x v="2"/>
    <x v="36"/>
    <x v="51"/>
  </r>
  <r>
    <n v="106"/>
    <x v="2"/>
    <x v="37"/>
    <x v="61"/>
  </r>
  <r>
    <n v="107"/>
    <x v="2"/>
    <x v="24"/>
    <x v="58"/>
  </r>
  <r>
    <n v="108"/>
    <x v="2"/>
    <x v="38"/>
    <x v="49"/>
  </r>
  <r>
    <n v="109"/>
    <x v="2"/>
    <x v="31"/>
    <x v="29"/>
  </r>
  <r>
    <n v="110"/>
    <x v="2"/>
    <x v="39"/>
    <x v="49"/>
  </r>
  <r>
    <n v="111"/>
    <x v="2"/>
    <x v="36"/>
    <x v="64"/>
  </r>
  <r>
    <n v="112"/>
    <x v="2"/>
    <x v="37"/>
    <x v="65"/>
  </r>
  <r>
    <n v="113"/>
    <x v="2"/>
    <x v="40"/>
    <x v="54"/>
  </r>
  <r>
    <n v="114"/>
    <x v="2"/>
    <x v="24"/>
    <x v="66"/>
  </r>
  <r>
    <n v="115"/>
    <x v="2"/>
    <x v="39"/>
    <x v="52"/>
  </r>
  <r>
    <n v="116"/>
    <x v="2"/>
    <x v="41"/>
    <x v="67"/>
  </r>
  <r>
    <n v="117"/>
    <x v="2"/>
    <x v="41"/>
    <x v="59"/>
  </r>
  <r>
    <n v="118"/>
    <x v="2"/>
    <x v="29"/>
    <x v="60"/>
  </r>
  <r>
    <n v="119"/>
    <x v="2"/>
    <x v="35"/>
    <x v="49"/>
  </r>
  <r>
    <n v="120"/>
    <x v="2"/>
    <x v="29"/>
    <x v="52"/>
  </r>
  <r>
    <n v="121"/>
    <x v="2"/>
    <x v="42"/>
    <x v="65"/>
  </r>
  <r>
    <n v="122"/>
    <x v="2"/>
    <x v="29"/>
    <x v="58"/>
  </r>
  <r>
    <n v="123"/>
    <x v="2"/>
    <x v="37"/>
    <x v="52"/>
  </r>
  <r>
    <n v="124"/>
    <x v="2"/>
    <x v="38"/>
    <x v="68"/>
  </r>
  <r>
    <n v="125"/>
    <x v="2"/>
    <x v="36"/>
    <x v="64"/>
  </r>
  <r>
    <n v="126"/>
    <x v="2"/>
    <x v="37"/>
    <x v="52"/>
  </r>
  <r>
    <n v="127"/>
    <x v="2"/>
    <x v="43"/>
    <x v="22"/>
  </r>
  <r>
    <n v="128"/>
    <x v="2"/>
    <x v="29"/>
    <x v="51"/>
  </r>
  <r>
    <n v="129"/>
    <x v="2"/>
    <x v="37"/>
    <x v="51"/>
  </r>
  <r>
    <n v="130"/>
    <x v="2"/>
    <x v="29"/>
    <x v="49"/>
  </r>
  <r>
    <n v="131"/>
    <x v="2"/>
    <x v="39"/>
    <x v="51"/>
  </r>
  <r>
    <n v="132"/>
    <x v="2"/>
    <x v="37"/>
    <x v="49"/>
  </r>
  <r>
    <n v="133"/>
    <x v="2"/>
    <x v="39"/>
    <x v="49"/>
  </r>
  <r>
    <n v="134"/>
    <x v="2"/>
    <x v="37"/>
    <x v="22"/>
  </r>
  <r>
    <n v="135"/>
    <x v="2"/>
    <x v="36"/>
    <x v="54"/>
  </r>
  <r>
    <n v="136"/>
    <x v="2"/>
    <x v="30"/>
    <x v="56"/>
  </r>
  <r>
    <n v="137"/>
    <x v="2"/>
    <x v="42"/>
    <x v="61"/>
  </r>
  <r>
    <n v="138"/>
    <x v="2"/>
    <x v="37"/>
    <x v="61"/>
  </r>
  <r>
    <n v="139"/>
    <x v="2"/>
    <x v="38"/>
    <x v="56"/>
  </r>
  <r>
    <n v="140"/>
    <x v="2"/>
    <x v="30"/>
    <x v="22"/>
  </r>
  <r>
    <n v="141"/>
    <x v="2"/>
    <x v="41"/>
    <x v="18"/>
  </r>
  <r>
    <n v="142"/>
    <x v="2"/>
    <x v="36"/>
    <x v="47"/>
  </r>
  <r>
    <n v="143"/>
    <x v="2"/>
    <x v="43"/>
    <x v="64"/>
  </r>
  <r>
    <n v="144"/>
    <x v="2"/>
    <x v="24"/>
    <x v="57"/>
  </r>
  <r>
    <n v="145"/>
    <x v="2"/>
    <x v="44"/>
    <x v="43"/>
  </r>
  <r>
    <n v="146"/>
    <x v="2"/>
    <x v="36"/>
    <x v="65"/>
  </r>
  <r>
    <n v="147"/>
    <x v="2"/>
    <x v="37"/>
    <x v="60"/>
  </r>
  <r>
    <n v="148"/>
    <x v="2"/>
    <x v="40"/>
    <x v="60"/>
  </r>
  <r>
    <n v="149"/>
    <x v="2"/>
    <x v="41"/>
    <x v="61"/>
  </r>
  <r>
    <n v="150"/>
    <x v="2"/>
    <x v="41"/>
    <x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14763-DED2-466E-B670-E0E0C3605620}" name="PivotTable5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ourse Level">
  <location ref="N18:T21" firstHeaderRow="0" firstDataRow="1" firstDataCol="1"/>
  <pivotFields count="4">
    <pivotField showAll="0"/>
    <pivotField axis="axisRow" showAll="0">
      <items count="4">
        <item x="0"/>
        <item x="2"/>
        <item x="1"/>
        <item t="default"/>
      </items>
    </pivotField>
    <pivotField showAll="0">
      <items count="46">
        <item x="44"/>
        <item x="42"/>
        <item x="40"/>
        <item x="39"/>
        <item x="37"/>
        <item x="36"/>
        <item x="38"/>
        <item x="29"/>
        <item x="41"/>
        <item x="35"/>
        <item x="24"/>
        <item x="43"/>
        <item x="31"/>
        <item x="30"/>
        <item x="33"/>
        <item x="27"/>
        <item x="21"/>
        <item x="34"/>
        <item x="32"/>
        <item x="19"/>
        <item x="20"/>
        <item x="23"/>
        <item x="9"/>
        <item x="28"/>
        <item x="18"/>
        <item x="12"/>
        <item x="16"/>
        <item x="25"/>
        <item x="14"/>
        <item x="15"/>
        <item x="11"/>
        <item x="7"/>
        <item x="10"/>
        <item x="17"/>
        <item x="26"/>
        <item x="13"/>
        <item x="6"/>
        <item x="3"/>
        <item x="22"/>
        <item x="2"/>
        <item x="5"/>
        <item x="1"/>
        <item x="0"/>
        <item x="4"/>
        <item x="8"/>
        <item t="default"/>
      </items>
    </pivotField>
    <pivotField dataField="1" showAll="0">
      <items count="71">
        <item x="68"/>
        <item x="63"/>
        <item x="62"/>
        <item x="58"/>
        <item x="69"/>
        <item x="65"/>
        <item x="61"/>
        <item x="47"/>
        <item x="52"/>
        <item x="60"/>
        <item x="49"/>
        <item x="54"/>
        <item x="50"/>
        <item x="55"/>
        <item x="51"/>
        <item x="64"/>
        <item x="67"/>
        <item x="66"/>
        <item x="56"/>
        <item x="18"/>
        <item x="39"/>
        <item x="43"/>
        <item x="22"/>
        <item x="59"/>
        <item x="20"/>
        <item x="30"/>
        <item x="40"/>
        <item x="29"/>
        <item x="57"/>
        <item x="48"/>
        <item x="45"/>
        <item x="53"/>
        <item x="21"/>
        <item x="37"/>
        <item x="31"/>
        <item x="33"/>
        <item x="36"/>
        <item x="27"/>
        <item x="38"/>
        <item x="9"/>
        <item x="44"/>
        <item x="19"/>
        <item x="17"/>
        <item x="41"/>
        <item x="42"/>
        <item x="25"/>
        <item x="46"/>
        <item x="23"/>
        <item x="24"/>
        <item x="13"/>
        <item x="35"/>
        <item x="2"/>
        <item x="32"/>
        <item x="15"/>
        <item x="0"/>
        <item x="34"/>
        <item x="26"/>
        <item x="6"/>
        <item x="5"/>
        <item x="4"/>
        <item x="3"/>
        <item x="12"/>
        <item x="11"/>
        <item x="10"/>
        <item x="7"/>
        <item x="1"/>
        <item x="14"/>
        <item x="28"/>
        <item x="8"/>
        <item x="16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" fld="3" baseField="0" baseItem="0"/>
    <dataField name="Jumlah" fld="3" subtotal="count" baseField="1" baseItem="0"/>
    <dataField name="Rata rata" fld="3" subtotal="average" baseField="1" baseItem="0"/>
    <dataField name="Max" fld="3" subtotal="max" baseField="1" baseItem="0"/>
    <dataField name="Min" fld="3" subtotal="min" baseField="1" baseItem="0"/>
    <dataField name="Standar Deviasi" fld="3" subtotal="stdDev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A7ECC-6B8C-4FC2-A483-BD4EE6E0D44B}" name="PivotTable4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ourse Level">
  <location ref="N12:T15" firstHeaderRow="0" firstDataRow="1" firstDataCol="1"/>
  <pivotFields count="4">
    <pivotField showAll="0"/>
    <pivotField axis="axisRow" showAll="0" sortType="ascending">
      <items count="4">
        <item x="0"/>
        <item x="2"/>
        <item x="1"/>
        <item t="default"/>
      </items>
    </pivotField>
    <pivotField dataField="1" showAll="0">
      <items count="46">
        <item x="44"/>
        <item x="42"/>
        <item x="40"/>
        <item x="39"/>
        <item x="37"/>
        <item x="36"/>
        <item x="38"/>
        <item x="29"/>
        <item x="41"/>
        <item x="35"/>
        <item x="24"/>
        <item x="43"/>
        <item x="31"/>
        <item x="30"/>
        <item x="33"/>
        <item x="27"/>
        <item x="21"/>
        <item x="34"/>
        <item x="32"/>
        <item x="19"/>
        <item x="20"/>
        <item x="23"/>
        <item x="9"/>
        <item x="28"/>
        <item x="18"/>
        <item x="12"/>
        <item x="16"/>
        <item x="25"/>
        <item x="14"/>
        <item x="15"/>
        <item x="11"/>
        <item x="7"/>
        <item x="10"/>
        <item x="17"/>
        <item x="26"/>
        <item x="13"/>
        <item x="6"/>
        <item x="3"/>
        <item x="22"/>
        <item x="2"/>
        <item x="5"/>
        <item x="1"/>
        <item x="0"/>
        <item x="4"/>
        <item x="8"/>
        <item t="default"/>
      </items>
    </pivotField>
    <pivotField showAll="0"/>
  </pivotFields>
  <rowFields count="1">
    <field x="1"/>
  </rowFields>
  <rowItems count="3">
    <i>
      <x/>
    </i>
    <i>
      <x v="1"/>
    </i>
    <i>
      <x v="2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" fld="2" baseField="1" baseItem="0"/>
    <dataField name="Jumlah " fld="2" subtotal="count" baseField="1" baseItem="0"/>
    <dataField name="Rata Rata" fld="2" subtotal="average" baseField="1" baseItem="0"/>
    <dataField name="Max" fld="2" subtotal="max" baseField="1" baseItem="0"/>
    <dataField name="Min " fld="2" subtotal="min" baseField="1" baseItem="0"/>
    <dataField name="Standar Deviasi" fld="2" subtotal="stdDev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2FB19E-E4E3-48B9-BF31-AADC99491023}" autoFormatId="16" applyNumberFormats="0" applyBorderFormats="0" applyFontFormats="0" applyPatternFormats="0" applyAlignmentFormats="0" applyWidthHeightFormats="0">
  <queryTableRefresh nextId="5">
    <queryTableFields count="4">
      <queryTableField id="1" name="student_id" tableColumnId="1"/>
      <queryTableField id="2" name="course_level" tableColumnId="2"/>
      <queryTableField id="3" name="performance_score" tableColumnId="3"/>
      <queryTableField id="4" name="aptitude_scor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0FFF8A-4660-485A-9049-1A2AD1F21913}" name="student_combined_data" displayName="student_combined_data" ref="A1:D151" tableType="queryTable" totalsRowShown="0">
  <autoFilter ref="A1:D151" xr:uid="{DA0FFF8A-4660-485A-9049-1A2AD1F21913}"/>
  <tableColumns count="4">
    <tableColumn id="1" xr3:uid="{05AF3EAE-9E7C-476F-9CF6-BE058B96580B}" uniqueName="1" name="student_id" queryTableFieldId="1"/>
    <tableColumn id="2" xr3:uid="{5BC856B9-E9C6-44D7-A963-6A03ADBF9A68}" uniqueName="2" name="course_level" queryTableFieldId="2" dataDxfId="0"/>
    <tableColumn id="3" xr3:uid="{56B1A56A-4527-412C-8FC7-BFBF8E60AE9F}" uniqueName="3" name="performance_score" queryTableFieldId="3"/>
    <tableColumn id="4" xr3:uid="{95F257B4-E6FF-4475-9B4B-12FD5B401F21}" uniqueName="4" name="aptitude_scor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CAB6-3538-41F8-AEF3-E0546176706A}">
  <dimension ref="A1:V151"/>
  <sheetViews>
    <sheetView tabSelected="1" topLeftCell="E1" zoomScale="91" workbookViewId="0">
      <selection activeCell="H44" sqref="H44"/>
    </sheetView>
  </sheetViews>
  <sheetFormatPr defaultRowHeight="14.4" x14ac:dyDescent="0.3"/>
  <cols>
    <col min="1" max="1" width="12" bestFit="1" customWidth="1"/>
    <col min="2" max="2" width="13.5546875" bestFit="1" customWidth="1"/>
    <col min="3" max="3" width="19.44140625" bestFit="1" customWidth="1"/>
    <col min="4" max="4" width="15.77734375" bestFit="1" customWidth="1"/>
    <col min="8" max="8" width="21.109375" bestFit="1" customWidth="1"/>
    <col min="9" max="9" width="16.88671875" bestFit="1" customWidth="1"/>
    <col min="10" max="10" width="15.44140625" bestFit="1" customWidth="1"/>
    <col min="11" max="12" width="21.109375" bestFit="1" customWidth="1"/>
    <col min="13" max="13" width="12.6640625" bestFit="1" customWidth="1"/>
    <col min="14" max="14" width="15" bestFit="1" customWidth="1"/>
    <col min="15" max="15" width="6.5546875" bestFit="1" customWidth="1"/>
    <col min="16" max="16" width="7.6640625" bestFit="1" customWidth="1"/>
    <col min="17" max="17" width="9" bestFit="1" customWidth="1"/>
    <col min="18" max="19" width="4.5546875" bestFit="1" customWidth="1"/>
    <col min="20" max="20" width="14.5546875" bestFit="1" customWidth="1"/>
    <col min="21" max="21" width="11.21875" bestFit="1" customWidth="1"/>
    <col min="22" max="22" width="10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</row>
    <row r="2" spans="1:21" x14ac:dyDescent="0.3">
      <c r="A2">
        <v>1</v>
      </c>
      <c r="B2" s="1" t="s">
        <v>4</v>
      </c>
      <c r="C2">
        <v>370</v>
      </c>
      <c r="D2">
        <v>72</v>
      </c>
    </row>
    <row r="3" spans="1:21" x14ac:dyDescent="0.3">
      <c r="A3">
        <v>2</v>
      </c>
      <c r="B3" s="1" t="s">
        <v>4</v>
      </c>
      <c r="C3">
        <v>365</v>
      </c>
      <c r="D3">
        <v>90</v>
      </c>
      <c r="H3" s="7" t="s">
        <v>23</v>
      </c>
      <c r="I3" s="7"/>
    </row>
    <row r="4" spans="1:21" x14ac:dyDescent="0.3">
      <c r="A4">
        <v>3</v>
      </c>
      <c r="B4" s="1" t="s">
        <v>4</v>
      </c>
      <c r="C4">
        <v>355</v>
      </c>
      <c r="D4">
        <v>68</v>
      </c>
      <c r="H4" s="5" t="s">
        <v>0</v>
      </c>
      <c r="I4" s="5" t="s">
        <v>24</v>
      </c>
    </row>
    <row r="5" spans="1:21" x14ac:dyDescent="0.3">
      <c r="A5">
        <v>4</v>
      </c>
      <c r="B5" s="1" t="s">
        <v>4</v>
      </c>
      <c r="C5">
        <v>345</v>
      </c>
      <c r="D5">
        <v>84</v>
      </c>
      <c r="H5" s="5" t="s">
        <v>1</v>
      </c>
      <c r="I5" s="5" t="s">
        <v>25</v>
      </c>
    </row>
    <row r="6" spans="1:21" x14ac:dyDescent="0.3">
      <c r="A6">
        <v>5</v>
      </c>
      <c r="B6" s="1" t="s">
        <v>4</v>
      </c>
      <c r="C6">
        <v>355</v>
      </c>
      <c r="D6">
        <v>72</v>
      </c>
      <c r="H6" s="5" t="s">
        <v>2</v>
      </c>
      <c r="I6" s="5" t="s">
        <v>24</v>
      </c>
    </row>
    <row r="7" spans="1:21" x14ac:dyDescent="0.3">
      <c r="A7">
        <v>6</v>
      </c>
      <c r="B7" s="1" t="s">
        <v>4</v>
      </c>
      <c r="C7">
        <v>355</v>
      </c>
      <c r="D7">
        <v>83</v>
      </c>
      <c r="H7" s="5" t="s">
        <v>3</v>
      </c>
      <c r="I7" s="5" t="s">
        <v>24</v>
      </c>
    </row>
    <row r="8" spans="1:21" x14ac:dyDescent="0.3">
      <c r="A8">
        <v>7</v>
      </c>
      <c r="B8" s="1" t="s">
        <v>4</v>
      </c>
      <c r="C8">
        <v>375</v>
      </c>
      <c r="D8">
        <v>83</v>
      </c>
    </row>
    <row r="9" spans="1:21" x14ac:dyDescent="0.3">
      <c r="A9">
        <v>8</v>
      </c>
      <c r="B9" s="1" t="s">
        <v>4</v>
      </c>
      <c r="C9">
        <v>360</v>
      </c>
      <c r="D9">
        <v>81</v>
      </c>
    </row>
    <row r="10" spans="1:21" ht="15" thickBot="1" x14ac:dyDescent="0.35">
      <c r="A10">
        <v>9</v>
      </c>
      <c r="B10" s="1" t="s">
        <v>4</v>
      </c>
      <c r="C10">
        <v>345</v>
      </c>
      <c r="D10">
        <v>79</v>
      </c>
    </row>
    <row r="11" spans="1:21" x14ac:dyDescent="0.3">
      <c r="A11">
        <v>10</v>
      </c>
      <c r="B11" s="1" t="s">
        <v>4</v>
      </c>
      <c r="C11">
        <v>355</v>
      </c>
      <c r="D11">
        <v>89</v>
      </c>
      <c r="H11" s="4" t="s">
        <v>2</v>
      </c>
      <c r="I11" s="4"/>
      <c r="K11" s="4" t="s">
        <v>3</v>
      </c>
      <c r="L11" s="4"/>
      <c r="N11" t="s">
        <v>43</v>
      </c>
    </row>
    <row r="12" spans="1:21" x14ac:dyDescent="0.3">
      <c r="A12">
        <v>11</v>
      </c>
      <c r="B12" s="1" t="s">
        <v>4</v>
      </c>
      <c r="C12">
        <v>340</v>
      </c>
      <c r="D12">
        <v>94</v>
      </c>
      <c r="H12" s="2"/>
      <c r="I12" s="2"/>
      <c r="K12" s="2"/>
      <c r="L12" s="2"/>
      <c r="N12" s="10" t="s">
        <v>30</v>
      </c>
      <c r="O12" t="s">
        <v>36</v>
      </c>
      <c r="P12" t="s">
        <v>40</v>
      </c>
      <c r="Q12" t="s">
        <v>37</v>
      </c>
      <c r="R12" t="s">
        <v>33</v>
      </c>
      <c r="S12" t="s">
        <v>38</v>
      </c>
      <c r="T12" t="s">
        <v>39</v>
      </c>
      <c r="U12" s="12" t="s">
        <v>15</v>
      </c>
    </row>
    <row r="13" spans="1:21" x14ac:dyDescent="0.3">
      <c r="A13">
        <v>12</v>
      </c>
      <c r="B13" s="1" t="s">
        <v>4</v>
      </c>
      <c r="C13">
        <v>310</v>
      </c>
      <c r="D13">
        <v>52</v>
      </c>
      <c r="H13" s="2" t="s">
        <v>7</v>
      </c>
      <c r="I13" s="2">
        <v>254.06666666666666</v>
      </c>
      <c r="K13" s="2" t="s">
        <v>7</v>
      </c>
      <c r="L13" s="2">
        <v>44.24</v>
      </c>
      <c r="N13" s="11" t="s">
        <v>4</v>
      </c>
      <c r="O13" s="1">
        <v>16195</v>
      </c>
      <c r="P13" s="1">
        <v>50</v>
      </c>
      <c r="Q13" s="1">
        <v>323.89999999999998</v>
      </c>
      <c r="R13" s="1">
        <v>380</v>
      </c>
      <c r="S13" s="1">
        <v>250</v>
      </c>
      <c r="T13" s="1">
        <v>38.402938875634433</v>
      </c>
      <c r="U13" s="12">
        <f>GETPIVOTDATA("Max",$N$12,"course_level","Advanced")-GETPIVOTDATA("Min ",$N$12,"course_level","Advanced")</f>
        <v>130</v>
      </c>
    </row>
    <row r="14" spans="1:21" x14ac:dyDescent="0.3">
      <c r="A14">
        <v>13</v>
      </c>
      <c r="B14" s="1" t="s">
        <v>4</v>
      </c>
      <c r="C14">
        <v>375</v>
      </c>
      <c r="D14">
        <v>81</v>
      </c>
      <c r="H14" s="2" t="s">
        <v>8</v>
      </c>
      <c r="I14" s="2">
        <v>5.3303375254968275</v>
      </c>
      <c r="K14" s="2" t="s">
        <v>8</v>
      </c>
      <c r="L14" s="2">
        <v>1.9782187545152543</v>
      </c>
      <c r="N14" s="11" t="s">
        <v>6</v>
      </c>
      <c r="O14" s="1">
        <v>9325</v>
      </c>
      <c r="P14" s="1">
        <v>50</v>
      </c>
      <c r="Q14" s="1">
        <v>186.5</v>
      </c>
      <c r="R14" s="1">
        <v>245</v>
      </c>
      <c r="S14" s="1">
        <v>155</v>
      </c>
      <c r="T14" s="1">
        <v>17.677669529663689</v>
      </c>
      <c r="U14" s="12">
        <f>GETPIVOTDATA("Max",$N$12,"course_level","Foundation")-GETPIVOTDATA("Min ",$N$12,"course_level","Foundation")</f>
        <v>90</v>
      </c>
    </row>
    <row r="15" spans="1:21" x14ac:dyDescent="0.3">
      <c r="A15">
        <v>14</v>
      </c>
      <c r="B15" s="1" t="s">
        <v>4</v>
      </c>
      <c r="C15">
        <v>360</v>
      </c>
      <c r="D15">
        <v>68</v>
      </c>
      <c r="H15" s="2" t="s">
        <v>9</v>
      </c>
      <c r="I15" s="2">
        <v>247.5</v>
      </c>
      <c r="K15" s="2" t="s">
        <v>9</v>
      </c>
      <c r="L15" s="2">
        <v>38</v>
      </c>
      <c r="N15" s="11" t="s">
        <v>5</v>
      </c>
      <c r="O15" s="1">
        <v>12590</v>
      </c>
      <c r="P15" s="1">
        <v>50</v>
      </c>
      <c r="Q15" s="1">
        <v>251.8</v>
      </c>
      <c r="R15" s="1">
        <v>355</v>
      </c>
      <c r="S15" s="1">
        <v>190</v>
      </c>
      <c r="T15" s="1">
        <v>39.14598527646617</v>
      </c>
      <c r="U15" s="12">
        <f>GETPIVOTDATA("Max",$N$12,"course_level","Intermediate")-GETPIVOTDATA("Min ",$N$12,"course_level","Intermediate")</f>
        <v>165</v>
      </c>
    </row>
    <row r="16" spans="1:21" x14ac:dyDescent="0.3">
      <c r="A16">
        <v>15</v>
      </c>
      <c r="B16" s="1" t="s">
        <v>4</v>
      </c>
      <c r="C16">
        <v>380</v>
      </c>
      <c r="D16">
        <v>88</v>
      </c>
      <c r="H16" s="2" t="s">
        <v>10</v>
      </c>
      <c r="I16" s="2">
        <v>355</v>
      </c>
      <c r="K16" s="2" t="s">
        <v>10</v>
      </c>
      <c r="L16" s="2">
        <v>21</v>
      </c>
      <c r="U16" s="12"/>
    </row>
    <row r="17" spans="1:22" x14ac:dyDescent="0.3">
      <c r="A17">
        <v>16</v>
      </c>
      <c r="B17" s="1" t="s">
        <v>4</v>
      </c>
      <c r="C17">
        <v>355</v>
      </c>
      <c r="D17">
        <v>87</v>
      </c>
      <c r="H17" s="2" t="s">
        <v>11</v>
      </c>
      <c r="I17" s="2">
        <v>65.283035471383727</v>
      </c>
      <c r="K17" s="2" t="s">
        <v>11</v>
      </c>
      <c r="L17" s="2">
        <v>24.228132740832145</v>
      </c>
      <c r="N17" s="11" t="s">
        <v>44</v>
      </c>
      <c r="U17" s="12"/>
    </row>
    <row r="18" spans="1:22" x14ac:dyDescent="0.3">
      <c r="A18">
        <v>17</v>
      </c>
      <c r="B18" s="1" t="s">
        <v>4</v>
      </c>
      <c r="C18">
        <v>355</v>
      </c>
      <c r="D18">
        <v>86</v>
      </c>
      <c r="H18" s="2" t="s">
        <v>12</v>
      </c>
      <c r="I18" s="2">
        <v>4261.874720357946</v>
      </c>
      <c r="K18" s="2" t="s">
        <v>12</v>
      </c>
      <c r="L18" s="2">
        <v>587.00241610738249</v>
      </c>
      <c r="N18" s="10" t="s">
        <v>30</v>
      </c>
      <c r="O18" s="10" t="s">
        <v>36</v>
      </c>
      <c r="P18" t="s">
        <v>41</v>
      </c>
      <c r="Q18" t="s">
        <v>42</v>
      </c>
      <c r="R18" t="s">
        <v>33</v>
      </c>
      <c r="S18" t="s">
        <v>32</v>
      </c>
      <c r="T18" t="s">
        <v>39</v>
      </c>
      <c r="U18" s="12" t="s">
        <v>15</v>
      </c>
    </row>
    <row r="19" spans="1:22" x14ac:dyDescent="0.3">
      <c r="A19">
        <v>18</v>
      </c>
      <c r="B19" s="1" t="s">
        <v>4</v>
      </c>
      <c r="C19">
        <v>310</v>
      </c>
      <c r="D19">
        <v>66</v>
      </c>
      <c r="H19" s="2" t="s">
        <v>13</v>
      </c>
      <c r="I19" s="2">
        <v>-1.1419921217039777</v>
      </c>
      <c r="K19" s="2" t="s">
        <v>13</v>
      </c>
      <c r="L19" s="2">
        <v>-0.87170446094811549</v>
      </c>
      <c r="N19" s="11" t="s">
        <v>4</v>
      </c>
      <c r="O19" s="1">
        <v>3373</v>
      </c>
      <c r="P19" s="1">
        <v>50</v>
      </c>
      <c r="Q19" s="1">
        <v>67.459999999999994</v>
      </c>
      <c r="R19" s="1">
        <v>97</v>
      </c>
      <c r="S19" s="1">
        <v>30</v>
      </c>
      <c r="T19" s="1">
        <v>19.171843725545411</v>
      </c>
      <c r="U19" s="12">
        <f>GETPIVOTDATA("Max",$N$18,"course_level","Advanced")-GETPIVOTDATA("Min",$N$18,"course_level","Advanced")</f>
        <v>67</v>
      </c>
    </row>
    <row r="20" spans="1:22" x14ac:dyDescent="0.3">
      <c r="A20">
        <v>19</v>
      </c>
      <c r="B20" s="1" t="s">
        <v>4</v>
      </c>
      <c r="C20">
        <v>355</v>
      </c>
      <c r="D20">
        <v>91</v>
      </c>
      <c r="H20" s="2" t="s">
        <v>14</v>
      </c>
      <c r="I20" s="2">
        <v>0.35309977845795898</v>
      </c>
      <c r="K20" s="2" t="s">
        <v>14</v>
      </c>
      <c r="L20" s="2">
        <v>0.58310354483159099</v>
      </c>
      <c r="N20" s="11" t="s">
        <v>6</v>
      </c>
      <c r="O20" s="1">
        <v>1126</v>
      </c>
      <c r="P20" s="1">
        <v>50</v>
      </c>
      <c r="Q20" s="1">
        <v>22.52</v>
      </c>
      <c r="R20" s="1">
        <v>41</v>
      </c>
      <c r="S20" s="1">
        <v>9</v>
      </c>
      <c r="T20" s="1">
        <v>7.0283391366956787</v>
      </c>
      <c r="U20" s="12">
        <f>GETPIVOTDATA("Max",$N$18,"course_level","Foundation")-GETPIVOTDATA("Min",$N$18,"course_level","Foundation")</f>
        <v>32</v>
      </c>
    </row>
    <row r="21" spans="1:22" x14ac:dyDescent="0.3">
      <c r="A21">
        <v>20</v>
      </c>
      <c r="B21" s="1" t="s">
        <v>4</v>
      </c>
      <c r="C21">
        <v>360</v>
      </c>
      <c r="D21">
        <v>94</v>
      </c>
      <c r="H21" s="2" t="s">
        <v>15</v>
      </c>
      <c r="I21" s="2">
        <v>225</v>
      </c>
      <c r="K21" s="2" t="s">
        <v>15</v>
      </c>
      <c r="L21" s="2">
        <v>88</v>
      </c>
      <c r="N21" s="11" t="s">
        <v>5</v>
      </c>
      <c r="O21" s="1">
        <v>2137</v>
      </c>
      <c r="P21" s="1">
        <v>50</v>
      </c>
      <c r="Q21" s="1">
        <v>42.74</v>
      </c>
      <c r="R21" s="1">
        <v>90</v>
      </c>
      <c r="S21" s="1">
        <v>14</v>
      </c>
      <c r="T21" s="1">
        <v>18.279920957271166</v>
      </c>
      <c r="U21" s="12">
        <f>GETPIVOTDATA("Max",$N$18,"course_level","Intermediate")-GETPIVOTDATA("Min",$N$18,"course_level","Intermediate")</f>
        <v>76</v>
      </c>
    </row>
    <row r="22" spans="1:22" x14ac:dyDescent="0.3">
      <c r="A22">
        <v>21</v>
      </c>
      <c r="B22" s="1" t="s">
        <v>4</v>
      </c>
      <c r="C22">
        <v>355</v>
      </c>
      <c r="D22">
        <v>71</v>
      </c>
      <c r="H22" s="2" t="s">
        <v>16</v>
      </c>
      <c r="I22" s="2">
        <v>155</v>
      </c>
      <c r="K22" s="2" t="s">
        <v>16</v>
      </c>
      <c r="L22" s="2">
        <v>9</v>
      </c>
    </row>
    <row r="23" spans="1:22" x14ac:dyDescent="0.3">
      <c r="A23">
        <v>22</v>
      </c>
      <c r="B23" s="1" t="s">
        <v>4</v>
      </c>
      <c r="C23">
        <v>360</v>
      </c>
      <c r="D23">
        <v>97</v>
      </c>
      <c r="H23" s="2" t="s">
        <v>17</v>
      </c>
      <c r="I23" s="2">
        <v>380</v>
      </c>
      <c r="K23" s="2" t="s">
        <v>17</v>
      </c>
      <c r="L23" s="2">
        <v>97</v>
      </c>
      <c r="N23" s="11" t="s">
        <v>43</v>
      </c>
      <c r="S23" t="s">
        <v>44</v>
      </c>
    </row>
    <row r="24" spans="1:22" x14ac:dyDescent="0.3">
      <c r="A24">
        <v>23</v>
      </c>
      <c r="B24" s="1" t="s">
        <v>4</v>
      </c>
      <c r="C24">
        <v>345</v>
      </c>
      <c r="D24">
        <v>56</v>
      </c>
      <c r="H24" s="2" t="s">
        <v>18</v>
      </c>
      <c r="I24" s="2">
        <v>38110</v>
      </c>
      <c r="K24" s="2" t="s">
        <v>18</v>
      </c>
      <c r="L24" s="2">
        <v>6636</v>
      </c>
      <c r="N24" s="8" t="s">
        <v>31</v>
      </c>
      <c r="O24" s="8" t="s">
        <v>4</v>
      </c>
      <c r="P24" s="8" t="s">
        <v>5</v>
      </c>
      <c r="Q24" s="8" t="s">
        <v>6</v>
      </c>
      <c r="S24" s="8" t="s">
        <v>31</v>
      </c>
      <c r="T24" s="8" t="s">
        <v>4</v>
      </c>
      <c r="U24" s="8" t="s">
        <v>5</v>
      </c>
      <c r="V24" s="8" t="s">
        <v>6</v>
      </c>
    </row>
    <row r="25" spans="1:22" x14ac:dyDescent="0.3">
      <c r="A25">
        <v>24</v>
      </c>
      <c r="B25" s="1" t="s">
        <v>4</v>
      </c>
      <c r="C25">
        <v>365</v>
      </c>
      <c r="D25">
        <v>94</v>
      </c>
      <c r="H25" s="2" t="s">
        <v>19</v>
      </c>
      <c r="I25" s="2">
        <v>150</v>
      </c>
      <c r="K25" s="2" t="s">
        <v>19</v>
      </c>
      <c r="L25" s="2">
        <v>150</v>
      </c>
      <c r="N25" s="8" t="s">
        <v>34</v>
      </c>
      <c r="O25" s="8">
        <f>PERCENTILE(C2:C51,0.25)</f>
        <v>295</v>
      </c>
      <c r="P25" s="8">
        <f>PERCENTILE(C52:C101,0.25)</f>
        <v>225</v>
      </c>
      <c r="Q25" s="8">
        <f>PERCENTILE(C102:C151,0.25)</f>
        <v>175</v>
      </c>
      <c r="S25" s="8" t="s">
        <v>34</v>
      </c>
      <c r="T25" s="7">
        <f>PERCENTILE(D2:D51,0.25)</f>
        <v>50</v>
      </c>
      <c r="U25" s="7">
        <f>PERCENTILE(D52:D101,0.25)</f>
        <v>31</v>
      </c>
      <c r="V25" s="7">
        <f>PERCENTILE(D102:D151,0.25)</f>
        <v>17.25</v>
      </c>
    </row>
    <row r="26" spans="1:22" x14ac:dyDescent="0.3">
      <c r="A26">
        <v>25</v>
      </c>
      <c r="B26" s="1" t="s">
        <v>4</v>
      </c>
      <c r="C26">
        <v>345</v>
      </c>
      <c r="D26">
        <v>79</v>
      </c>
      <c r="H26" s="2" t="s">
        <v>20</v>
      </c>
      <c r="I26" s="2">
        <v>380</v>
      </c>
      <c r="K26" s="2" t="s">
        <v>20</v>
      </c>
      <c r="L26" s="2">
        <v>97</v>
      </c>
      <c r="N26" s="8" t="s">
        <v>45</v>
      </c>
      <c r="O26" s="8">
        <f>PERCENTILE(C2:C51,0.5)</f>
        <v>337.5</v>
      </c>
      <c r="P26" s="8">
        <f>PERCENTILE(C52:C101,0.5)</f>
        <v>247.5</v>
      </c>
      <c r="Q26" s="8">
        <f>PERCENTILE(C102:C151,0.5)</f>
        <v>182.5</v>
      </c>
      <c r="S26" s="8" t="s">
        <v>45</v>
      </c>
      <c r="T26" s="7">
        <f>PERCENTILE(D2:D51,0.5)</f>
        <v>70</v>
      </c>
      <c r="U26" s="7">
        <f>PERCENTILE(D52:D101,0.5)</f>
        <v>41.5</v>
      </c>
      <c r="V26" s="7">
        <f>PERCENTILE(D102:D151,0.5)</f>
        <v>21</v>
      </c>
    </row>
    <row r="27" spans="1:22" x14ac:dyDescent="0.3">
      <c r="A27">
        <v>26</v>
      </c>
      <c r="B27" s="1" t="s">
        <v>4</v>
      </c>
      <c r="C27">
        <v>265</v>
      </c>
      <c r="D27">
        <v>30</v>
      </c>
      <c r="H27" s="2" t="s">
        <v>21</v>
      </c>
      <c r="I27" s="2">
        <v>155</v>
      </c>
      <c r="K27" s="2" t="s">
        <v>21</v>
      </c>
      <c r="L27" s="2">
        <v>9</v>
      </c>
      <c r="N27" s="8" t="s">
        <v>35</v>
      </c>
      <c r="O27" s="8">
        <f>PERCENTILE(C2:C51,0.75)</f>
        <v>355</v>
      </c>
      <c r="P27" s="8">
        <f>PERCENTILE(C52:C101,0.75)</f>
        <v>278.75</v>
      </c>
      <c r="Q27" s="8">
        <f>PERCENTILE(C102:C151,0.75)</f>
        <v>195</v>
      </c>
      <c r="S27" s="8" t="s">
        <v>35</v>
      </c>
      <c r="T27" s="7">
        <f>PERCENTILE(D2:D51,0.75)</f>
        <v>83</v>
      </c>
      <c r="U27" s="7">
        <f>PERCENTILE(D52:D101,0.75)</f>
        <v>53.5</v>
      </c>
      <c r="V27" s="7">
        <f>PERCENTILE(D102:D151,0.75)</f>
        <v>26</v>
      </c>
    </row>
    <row r="28" spans="1:22" ht="15" thickBot="1" x14ac:dyDescent="0.35">
      <c r="A28">
        <v>27</v>
      </c>
      <c r="B28" s="1" t="s">
        <v>4</v>
      </c>
      <c r="C28">
        <v>315</v>
      </c>
      <c r="D28">
        <v>55</v>
      </c>
      <c r="H28" s="3" t="s">
        <v>22</v>
      </c>
      <c r="I28" s="3">
        <v>10.532817191912953</v>
      </c>
      <c r="K28" s="3" t="s">
        <v>22</v>
      </c>
      <c r="L28" s="3">
        <v>3.9089863272740515</v>
      </c>
      <c r="N28" s="8" t="s">
        <v>46</v>
      </c>
      <c r="O28" s="8">
        <f>O27-O25</f>
        <v>60</v>
      </c>
      <c r="P28" s="8">
        <f>P27-P25</f>
        <v>53.75</v>
      </c>
      <c r="Q28" s="8">
        <f>Q27-Q25</f>
        <v>20</v>
      </c>
      <c r="S28" s="8" t="s">
        <v>46</v>
      </c>
      <c r="T28" s="7">
        <f>T27-T25</f>
        <v>33</v>
      </c>
      <c r="U28" s="7">
        <f>U27-U25</f>
        <v>22.5</v>
      </c>
      <c r="V28" s="7">
        <f>V27-V25</f>
        <v>8.75</v>
      </c>
    </row>
    <row r="29" spans="1:22" x14ac:dyDescent="0.3">
      <c r="A29">
        <v>28</v>
      </c>
      <c r="B29" s="1" t="s">
        <v>4</v>
      </c>
      <c r="C29">
        <v>305</v>
      </c>
      <c r="D29">
        <v>36</v>
      </c>
    </row>
    <row r="30" spans="1:22" x14ac:dyDescent="0.3">
      <c r="A30">
        <v>29</v>
      </c>
      <c r="B30" s="1" t="s">
        <v>4</v>
      </c>
      <c r="C30">
        <v>305</v>
      </c>
      <c r="D30">
        <v>45</v>
      </c>
    </row>
    <row r="31" spans="1:22" x14ac:dyDescent="0.3">
      <c r="A31">
        <v>30</v>
      </c>
      <c r="B31" s="1" t="s">
        <v>4</v>
      </c>
      <c r="C31">
        <v>280</v>
      </c>
      <c r="D31">
        <v>33</v>
      </c>
      <c r="H31" s="9"/>
      <c r="I31" s="9"/>
      <c r="K31" s="9"/>
      <c r="L31" s="9"/>
      <c r="N31" s="9"/>
      <c r="O31" s="9"/>
    </row>
    <row r="32" spans="1:22" x14ac:dyDescent="0.3">
      <c r="A32">
        <v>31</v>
      </c>
      <c r="B32" s="1" t="s">
        <v>4</v>
      </c>
      <c r="C32">
        <v>335</v>
      </c>
      <c r="D32">
        <v>81</v>
      </c>
    </row>
    <row r="33" spans="1:8" x14ac:dyDescent="0.3">
      <c r="A33">
        <v>32</v>
      </c>
      <c r="B33" s="1" t="s">
        <v>4</v>
      </c>
      <c r="C33">
        <v>295</v>
      </c>
      <c r="D33">
        <v>64</v>
      </c>
    </row>
    <row r="34" spans="1:8" x14ac:dyDescent="0.3">
      <c r="A34">
        <v>33</v>
      </c>
      <c r="B34" s="1" t="s">
        <v>4</v>
      </c>
      <c r="C34">
        <v>300</v>
      </c>
      <c r="D34">
        <v>65</v>
      </c>
    </row>
    <row r="35" spans="1:8" x14ac:dyDescent="0.3">
      <c r="A35">
        <v>34</v>
      </c>
      <c r="B35" s="1" t="s">
        <v>4</v>
      </c>
      <c r="C35">
        <v>305</v>
      </c>
      <c r="D35">
        <v>45</v>
      </c>
    </row>
    <row r="36" spans="1:8" x14ac:dyDescent="0.3">
      <c r="A36">
        <v>35</v>
      </c>
      <c r="B36" s="1" t="s">
        <v>4</v>
      </c>
      <c r="C36">
        <v>285</v>
      </c>
      <c r="D36">
        <v>61</v>
      </c>
    </row>
    <row r="37" spans="1:8" x14ac:dyDescent="0.3">
      <c r="A37">
        <v>36</v>
      </c>
      <c r="B37" s="1" t="s">
        <v>4</v>
      </c>
      <c r="C37">
        <v>265</v>
      </c>
      <c r="D37">
        <v>75</v>
      </c>
    </row>
    <row r="38" spans="1:8" x14ac:dyDescent="0.3">
      <c r="A38">
        <v>37</v>
      </c>
      <c r="B38" s="1" t="s">
        <v>4</v>
      </c>
      <c r="C38">
        <v>320</v>
      </c>
      <c r="D38">
        <v>50</v>
      </c>
    </row>
    <row r="39" spans="1:8" x14ac:dyDescent="0.3">
      <c r="A39">
        <v>38</v>
      </c>
      <c r="B39" s="1" t="s">
        <v>4</v>
      </c>
      <c r="C39">
        <v>300</v>
      </c>
      <c r="D39">
        <v>72</v>
      </c>
    </row>
    <row r="40" spans="1:8" x14ac:dyDescent="0.3">
      <c r="A40">
        <v>39</v>
      </c>
      <c r="B40" s="1" t="s">
        <v>4</v>
      </c>
      <c r="C40">
        <v>360</v>
      </c>
      <c r="D40">
        <v>92</v>
      </c>
    </row>
    <row r="41" spans="1:8" x14ac:dyDescent="0.3">
      <c r="A41">
        <v>40</v>
      </c>
      <c r="B41" s="1" t="s">
        <v>4</v>
      </c>
      <c r="C41">
        <v>275</v>
      </c>
      <c r="D41">
        <v>40</v>
      </c>
    </row>
    <row r="42" spans="1:8" x14ac:dyDescent="0.3">
      <c r="A42">
        <v>41</v>
      </c>
      <c r="B42" s="1" t="s">
        <v>4</v>
      </c>
      <c r="C42">
        <v>250</v>
      </c>
      <c r="D42">
        <v>36</v>
      </c>
    </row>
    <row r="43" spans="1:8" x14ac:dyDescent="0.3">
      <c r="A43">
        <v>42</v>
      </c>
      <c r="B43" s="1" t="s">
        <v>4</v>
      </c>
      <c r="C43">
        <v>265</v>
      </c>
      <c r="D43">
        <v>50</v>
      </c>
      <c r="H43" t="s">
        <v>47</v>
      </c>
    </row>
    <row r="44" spans="1:8" x14ac:dyDescent="0.3">
      <c r="A44">
        <v>43</v>
      </c>
      <c r="B44" s="1" t="s">
        <v>4</v>
      </c>
      <c r="C44">
        <v>275</v>
      </c>
      <c r="D44">
        <v>37</v>
      </c>
    </row>
    <row r="45" spans="1:8" x14ac:dyDescent="0.3">
      <c r="A45">
        <v>44</v>
      </c>
      <c r="B45" s="1" t="s">
        <v>4</v>
      </c>
      <c r="C45">
        <v>295</v>
      </c>
      <c r="D45">
        <v>47</v>
      </c>
    </row>
    <row r="46" spans="1:8" x14ac:dyDescent="0.3">
      <c r="A46">
        <v>45</v>
      </c>
      <c r="B46" s="1" t="s">
        <v>4</v>
      </c>
      <c r="C46">
        <v>275</v>
      </c>
      <c r="D46">
        <v>65</v>
      </c>
    </row>
    <row r="47" spans="1:8" x14ac:dyDescent="0.3">
      <c r="A47">
        <v>46</v>
      </c>
      <c r="B47" s="1" t="s">
        <v>4</v>
      </c>
      <c r="C47">
        <v>295</v>
      </c>
      <c r="D47">
        <v>47</v>
      </c>
    </row>
    <row r="48" spans="1:8" x14ac:dyDescent="0.3">
      <c r="A48">
        <v>47</v>
      </c>
      <c r="B48" s="1" t="s">
        <v>4</v>
      </c>
      <c r="C48">
        <v>365</v>
      </c>
      <c r="D48">
        <v>75</v>
      </c>
    </row>
    <row r="49" spans="1:4" x14ac:dyDescent="0.3">
      <c r="A49">
        <v>48</v>
      </c>
      <c r="B49" s="1" t="s">
        <v>4</v>
      </c>
      <c r="C49">
        <v>255</v>
      </c>
      <c r="D49">
        <v>50</v>
      </c>
    </row>
    <row r="50" spans="1:4" x14ac:dyDescent="0.3">
      <c r="A50">
        <v>49</v>
      </c>
      <c r="B50" s="1" t="s">
        <v>4</v>
      </c>
      <c r="C50">
        <v>280</v>
      </c>
      <c r="D50">
        <v>69</v>
      </c>
    </row>
    <row r="51" spans="1:4" x14ac:dyDescent="0.3">
      <c r="A51">
        <v>50</v>
      </c>
      <c r="B51" s="1" t="s">
        <v>4</v>
      </c>
      <c r="C51">
        <v>280</v>
      </c>
      <c r="D51">
        <v>48</v>
      </c>
    </row>
    <row r="52" spans="1:4" x14ac:dyDescent="0.3">
      <c r="A52">
        <v>51</v>
      </c>
      <c r="B52" s="1" t="s">
        <v>5</v>
      </c>
      <c r="C52">
        <v>255</v>
      </c>
      <c r="D52">
        <v>74</v>
      </c>
    </row>
    <row r="53" spans="1:4" x14ac:dyDescent="0.3">
      <c r="A53">
        <v>52</v>
      </c>
      <c r="B53" s="1" t="s">
        <v>5</v>
      </c>
      <c r="C53">
        <v>235</v>
      </c>
      <c r="D53">
        <v>36</v>
      </c>
    </row>
    <row r="54" spans="1:4" x14ac:dyDescent="0.3">
      <c r="A54">
        <v>53</v>
      </c>
      <c r="B54" s="1" t="s">
        <v>5</v>
      </c>
      <c r="C54">
        <v>265</v>
      </c>
      <c r="D54">
        <v>50</v>
      </c>
    </row>
    <row r="55" spans="1:4" x14ac:dyDescent="0.3">
      <c r="A55">
        <v>54</v>
      </c>
      <c r="B55" s="1" t="s">
        <v>5</v>
      </c>
      <c r="C55">
        <v>350</v>
      </c>
      <c r="D55">
        <v>67</v>
      </c>
    </row>
    <row r="56" spans="1:4" x14ac:dyDescent="0.3">
      <c r="A56">
        <v>55</v>
      </c>
      <c r="B56" s="1" t="s">
        <v>5</v>
      </c>
      <c r="C56">
        <v>260</v>
      </c>
      <c r="D56">
        <v>65</v>
      </c>
    </row>
    <row r="57" spans="1:4" x14ac:dyDescent="0.3">
      <c r="A57">
        <v>56</v>
      </c>
      <c r="B57" s="1" t="s">
        <v>5</v>
      </c>
      <c r="C57">
        <v>250</v>
      </c>
      <c r="D57">
        <v>65</v>
      </c>
    </row>
    <row r="58" spans="1:4" x14ac:dyDescent="0.3">
      <c r="A58">
        <v>57</v>
      </c>
      <c r="B58" s="1" t="s">
        <v>5</v>
      </c>
      <c r="C58">
        <v>280</v>
      </c>
      <c r="D58">
        <v>49</v>
      </c>
    </row>
    <row r="59" spans="1:4" x14ac:dyDescent="0.3">
      <c r="A59">
        <v>58</v>
      </c>
      <c r="B59" s="1" t="s">
        <v>5</v>
      </c>
      <c r="C59">
        <v>265</v>
      </c>
      <c r="D59">
        <v>46</v>
      </c>
    </row>
    <row r="60" spans="1:4" x14ac:dyDescent="0.3">
      <c r="A60">
        <v>59</v>
      </c>
      <c r="B60" s="1" t="s">
        <v>5</v>
      </c>
      <c r="C60">
        <v>265</v>
      </c>
      <c r="D60">
        <v>52</v>
      </c>
    </row>
    <row r="61" spans="1:4" x14ac:dyDescent="0.3">
      <c r="A61">
        <v>60</v>
      </c>
      <c r="B61" s="1" t="s">
        <v>5</v>
      </c>
      <c r="C61">
        <v>280</v>
      </c>
      <c r="D61">
        <v>51</v>
      </c>
    </row>
    <row r="62" spans="1:4" x14ac:dyDescent="0.3">
      <c r="A62">
        <v>61</v>
      </c>
      <c r="B62" s="1" t="s">
        <v>5</v>
      </c>
      <c r="C62">
        <v>205</v>
      </c>
      <c r="D62">
        <v>31</v>
      </c>
    </row>
    <row r="63" spans="1:4" x14ac:dyDescent="0.3">
      <c r="A63">
        <v>62</v>
      </c>
      <c r="B63" s="1" t="s">
        <v>5</v>
      </c>
      <c r="C63">
        <v>290</v>
      </c>
      <c r="D63">
        <v>38</v>
      </c>
    </row>
    <row r="64" spans="1:4" x14ac:dyDescent="0.3">
      <c r="A64">
        <v>63</v>
      </c>
      <c r="B64" s="1" t="s">
        <v>5</v>
      </c>
      <c r="C64">
        <v>280</v>
      </c>
      <c r="D64">
        <v>57</v>
      </c>
    </row>
    <row r="65" spans="1:4" x14ac:dyDescent="0.3">
      <c r="A65">
        <v>64</v>
      </c>
      <c r="B65" s="1" t="s">
        <v>5</v>
      </c>
      <c r="C65">
        <v>275</v>
      </c>
      <c r="D65">
        <v>52</v>
      </c>
    </row>
    <row r="66" spans="1:4" x14ac:dyDescent="0.3">
      <c r="A66">
        <v>65</v>
      </c>
      <c r="B66" s="1" t="s">
        <v>5</v>
      </c>
      <c r="C66">
        <v>280</v>
      </c>
      <c r="D66">
        <v>59</v>
      </c>
    </row>
    <row r="67" spans="1:4" x14ac:dyDescent="0.3">
      <c r="A67">
        <v>66</v>
      </c>
      <c r="B67" s="1" t="s">
        <v>5</v>
      </c>
      <c r="C67">
        <v>205</v>
      </c>
      <c r="D67">
        <v>32</v>
      </c>
    </row>
    <row r="68" spans="1:4" x14ac:dyDescent="0.3">
      <c r="A68">
        <v>67</v>
      </c>
      <c r="B68" s="1" t="s">
        <v>5</v>
      </c>
      <c r="C68">
        <v>290</v>
      </c>
      <c r="D68">
        <v>38</v>
      </c>
    </row>
    <row r="69" spans="1:4" x14ac:dyDescent="0.3">
      <c r="A69">
        <v>68</v>
      </c>
      <c r="B69" s="1" t="s">
        <v>5</v>
      </c>
      <c r="C69">
        <v>315</v>
      </c>
      <c r="D69">
        <v>69</v>
      </c>
    </row>
    <row r="70" spans="1:4" x14ac:dyDescent="0.3">
      <c r="A70">
        <v>69</v>
      </c>
      <c r="B70" s="1" t="s">
        <v>5</v>
      </c>
      <c r="C70">
        <v>310</v>
      </c>
      <c r="D70">
        <v>54</v>
      </c>
    </row>
    <row r="71" spans="1:4" x14ac:dyDescent="0.3">
      <c r="A71">
        <v>70</v>
      </c>
      <c r="B71" s="1" t="s">
        <v>5</v>
      </c>
      <c r="C71">
        <v>330</v>
      </c>
      <c r="D71">
        <v>88</v>
      </c>
    </row>
    <row r="72" spans="1:4" x14ac:dyDescent="0.3">
      <c r="A72">
        <v>71</v>
      </c>
      <c r="B72" s="1" t="s">
        <v>5</v>
      </c>
      <c r="C72">
        <v>230</v>
      </c>
      <c r="D72">
        <v>40</v>
      </c>
    </row>
    <row r="73" spans="1:4" x14ac:dyDescent="0.3">
      <c r="A73">
        <v>72</v>
      </c>
      <c r="B73" s="1" t="s">
        <v>5</v>
      </c>
      <c r="C73">
        <v>265</v>
      </c>
      <c r="D73">
        <v>65</v>
      </c>
    </row>
    <row r="74" spans="1:4" x14ac:dyDescent="0.3">
      <c r="A74">
        <v>73</v>
      </c>
      <c r="B74" s="1" t="s">
        <v>5</v>
      </c>
      <c r="C74">
        <v>355</v>
      </c>
      <c r="D74">
        <v>90</v>
      </c>
    </row>
    <row r="75" spans="1:4" x14ac:dyDescent="0.3">
      <c r="A75">
        <v>74</v>
      </c>
      <c r="B75" s="1" t="s">
        <v>5</v>
      </c>
      <c r="C75">
        <v>270</v>
      </c>
      <c r="D75">
        <v>43</v>
      </c>
    </row>
    <row r="76" spans="1:4" x14ac:dyDescent="0.3">
      <c r="A76">
        <v>75</v>
      </c>
      <c r="B76" s="1" t="s">
        <v>5</v>
      </c>
      <c r="C76">
        <v>265</v>
      </c>
      <c r="D76">
        <v>62</v>
      </c>
    </row>
    <row r="77" spans="1:4" x14ac:dyDescent="0.3">
      <c r="A77">
        <v>76</v>
      </c>
      <c r="B77" s="1" t="s">
        <v>5</v>
      </c>
      <c r="C77">
        <v>205</v>
      </c>
      <c r="D77">
        <v>18</v>
      </c>
    </row>
    <row r="78" spans="1:4" x14ac:dyDescent="0.3">
      <c r="A78">
        <v>77</v>
      </c>
      <c r="B78" s="1" t="s">
        <v>5</v>
      </c>
      <c r="C78">
        <v>190</v>
      </c>
      <c r="D78">
        <v>42</v>
      </c>
    </row>
    <row r="79" spans="1:4" x14ac:dyDescent="0.3">
      <c r="A79">
        <v>78</v>
      </c>
      <c r="B79" s="1" t="s">
        <v>5</v>
      </c>
      <c r="C79">
        <v>220</v>
      </c>
      <c r="D79">
        <v>33</v>
      </c>
    </row>
    <row r="80" spans="1:4" x14ac:dyDescent="0.3">
      <c r="A80">
        <v>79</v>
      </c>
      <c r="B80" s="1" t="s">
        <v>5</v>
      </c>
      <c r="C80">
        <v>230</v>
      </c>
      <c r="D80">
        <v>21</v>
      </c>
    </row>
    <row r="81" spans="1:4" x14ac:dyDescent="0.3">
      <c r="A81">
        <v>80</v>
      </c>
      <c r="B81" s="1" t="s">
        <v>5</v>
      </c>
      <c r="C81">
        <v>235</v>
      </c>
      <c r="D81">
        <v>18</v>
      </c>
    </row>
    <row r="82" spans="1:4" x14ac:dyDescent="0.3">
      <c r="A82">
        <v>81</v>
      </c>
      <c r="B82" s="1" t="s">
        <v>5</v>
      </c>
      <c r="C82">
        <v>260</v>
      </c>
      <c r="D82">
        <v>23</v>
      </c>
    </row>
    <row r="83" spans="1:4" x14ac:dyDescent="0.3">
      <c r="A83">
        <v>82</v>
      </c>
      <c r="B83" s="1" t="s">
        <v>5</v>
      </c>
      <c r="C83">
        <v>215</v>
      </c>
      <c r="D83">
        <v>25</v>
      </c>
    </row>
    <row r="84" spans="1:4" x14ac:dyDescent="0.3">
      <c r="A84">
        <v>83</v>
      </c>
      <c r="B84" s="1" t="s">
        <v>5</v>
      </c>
      <c r="C84">
        <v>215</v>
      </c>
      <c r="D84">
        <v>19</v>
      </c>
    </row>
    <row r="85" spans="1:4" x14ac:dyDescent="0.3">
      <c r="A85">
        <v>84</v>
      </c>
      <c r="B85" s="1" t="s">
        <v>5</v>
      </c>
      <c r="C85">
        <v>205</v>
      </c>
      <c r="D85">
        <v>44</v>
      </c>
    </row>
    <row r="86" spans="1:4" x14ac:dyDescent="0.3">
      <c r="A86">
        <v>85</v>
      </c>
      <c r="B86" s="1" t="s">
        <v>5</v>
      </c>
      <c r="C86">
        <v>215</v>
      </c>
      <c r="D86">
        <v>42</v>
      </c>
    </row>
    <row r="87" spans="1:4" x14ac:dyDescent="0.3">
      <c r="A87">
        <v>86</v>
      </c>
      <c r="B87" s="1" t="s">
        <v>5</v>
      </c>
      <c r="C87">
        <v>235</v>
      </c>
      <c r="D87">
        <v>33</v>
      </c>
    </row>
    <row r="88" spans="1:4" x14ac:dyDescent="0.3">
      <c r="A88">
        <v>87</v>
      </c>
      <c r="B88" s="1" t="s">
        <v>5</v>
      </c>
      <c r="C88">
        <v>245</v>
      </c>
      <c r="D88">
        <v>22</v>
      </c>
    </row>
    <row r="89" spans="1:4" x14ac:dyDescent="0.3">
      <c r="A89">
        <v>88</v>
      </c>
      <c r="B89" s="1" t="s">
        <v>5</v>
      </c>
      <c r="C89">
        <v>225</v>
      </c>
      <c r="D89">
        <v>24</v>
      </c>
    </row>
    <row r="90" spans="1:4" x14ac:dyDescent="0.3">
      <c r="A90">
        <v>89</v>
      </c>
      <c r="B90" s="1" t="s">
        <v>5</v>
      </c>
      <c r="C90">
        <v>240</v>
      </c>
      <c r="D90">
        <v>45</v>
      </c>
    </row>
    <row r="91" spans="1:4" x14ac:dyDescent="0.3">
      <c r="A91">
        <v>90</v>
      </c>
      <c r="B91" s="1" t="s">
        <v>5</v>
      </c>
      <c r="C91">
        <v>280</v>
      </c>
      <c r="D91">
        <v>29</v>
      </c>
    </row>
    <row r="92" spans="1:4" x14ac:dyDescent="0.3">
      <c r="A92">
        <v>91</v>
      </c>
      <c r="B92" s="1" t="s">
        <v>5</v>
      </c>
      <c r="C92">
        <v>295</v>
      </c>
      <c r="D92">
        <v>41</v>
      </c>
    </row>
    <row r="93" spans="1:4" x14ac:dyDescent="0.3">
      <c r="A93">
        <v>92</v>
      </c>
      <c r="B93" s="1" t="s">
        <v>5</v>
      </c>
      <c r="C93">
        <v>190</v>
      </c>
      <c r="D93">
        <v>14</v>
      </c>
    </row>
    <row r="94" spans="1:4" x14ac:dyDescent="0.3">
      <c r="A94">
        <v>93</v>
      </c>
      <c r="B94" s="1" t="s">
        <v>5</v>
      </c>
      <c r="C94">
        <v>225</v>
      </c>
      <c r="D94">
        <v>37</v>
      </c>
    </row>
    <row r="95" spans="1:4" x14ac:dyDescent="0.3">
      <c r="A95">
        <v>94</v>
      </c>
      <c r="B95" s="1" t="s">
        <v>5</v>
      </c>
      <c r="C95">
        <v>220</v>
      </c>
      <c r="D95">
        <v>35</v>
      </c>
    </row>
    <row r="96" spans="1:4" x14ac:dyDescent="0.3">
      <c r="A96">
        <v>95</v>
      </c>
      <c r="B96" s="1" t="s">
        <v>5</v>
      </c>
      <c r="C96">
        <v>225</v>
      </c>
      <c r="D96">
        <v>20</v>
      </c>
    </row>
    <row r="97" spans="1:4" x14ac:dyDescent="0.3">
      <c r="A97">
        <v>96</v>
      </c>
      <c r="B97" s="1" t="s">
        <v>5</v>
      </c>
      <c r="C97">
        <v>240</v>
      </c>
      <c r="D97">
        <v>31</v>
      </c>
    </row>
    <row r="98" spans="1:4" x14ac:dyDescent="0.3">
      <c r="A98">
        <v>97</v>
      </c>
      <c r="B98" s="1" t="s">
        <v>5</v>
      </c>
      <c r="C98">
        <v>255</v>
      </c>
      <c r="D98">
        <v>57</v>
      </c>
    </row>
    <row r="99" spans="1:4" x14ac:dyDescent="0.3">
      <c r="A99">
        <v>98</v>
      </c>
      <c r="B99" s="1" t="s">
        <v>5</v>
      </c>
      <c r="C99">
        <v>230</v>
      </c>
      <c r="D99">
        <v>17</v>
      </c>
    </row>
    <row r="100" spans="1:4" x14ac:dyDescent="0.3">
      <c r="A100">
        <v>99</v>
      </c>
      <c r="B100" s="1" t="s">
        <v>5</v>
      </c>
      <c r="C100">
        <v>200</v>
      </c>
      <c r="D100">
        <v>32</v>
      </c>
    </row>
    <row r="101" spans="1:4" x14ac:dyDescent="0.3">
      <c r="A101">
        <v>100</v>
      </c>
      <c r="B101" s="1" t="s">
        <v>5</v>
      </c>
      <c r="C101">
        <v>225</v>
      </c>
      <c r="D101">
        <v>42</v>
      </c>
    </row>
    <row r="102" spans="1:4" x14ac:dyDescent="0.3">
      <c r="A102">
        <v>101</v>
      </c>
      <c r="B102" s="1" t="s">
        <v>6</v>
      </c>
      <c r="C102">
        <v>180</v>
      </c>
      <c r="D102">
        <v>20</v>
      </c>
    </row>
    <row r="103" spans="1:4" x14ac:dyDescent="0.3">
      <c r="A103">
        <v>102</v>
      </c>
      <c r="B103" s="1" t="s">
        <v>6</v>
      </c>
      <c r="C103">
        <v>190</v>
      </c>
      <c r="D103">
        <v>13</v>
      </c>
    </row>
    <row r="104" spans="1:4" x14ac:dyDescent="0.3">
      <c r="A104">
        <v>103</v>
      </c>
      <c r="B104" s="1" t="s">
        <v>6</v>
      </c>
      <c r="C104">
        <v>200</v>
      </c>
      <c r="D104">
        <v>12</v>
      </c>
    </row>
    <row r="105" spans="1:4" x14ac:dyDescent="0.3">
      <c r="A105">
        <v>104</v>
      </c>
      <c r="B105" s="1" t="s">
        <v>6</v>
      </c>
      <c r="C105">
        <v>245</v>
      </c>
      <c r="D105">
        <v>21</v>
      </c>
    </row>
    <row r="106" spans="1:4" x14ac:dyDescent="0.3">
      <c r="A106">
        <v>105</v>
      </c>
      <c r="B106" s="1" t="s">
        <v>6</v>
      </c>
      <c r="C106">
        <v>180</v>
      </c>
      <c r="D106">
        <v>25</v>
      </c>
    </row>
    <row r="107" spans="1:4" x14ac:dyDescent="0.3">
      <c r="A107">
        <v>106</v>
      </c>
      <c r="B107" s="1" t="s">
        <v>6</v>
      </c>
      <c r="C107">
        <v>175</v>
      </c>
      <c r="D107">
        <v>17</v>
      </c>
    </row>
    <row r="108" spans="1:4" x14ac:dyDescent="0.3">
      <c r="A108">
        <v>107</v>
      </c>
      <c r="B108" s="1" t="s">
        <v>6</v>
      </c>
      <c r="C108">
        <v>205</v>
      </c>
      <c r="D108">
        <v>14</v>
      </c>
    </row>
    <row r="109" spans="1:4" x14ac:dyDescent="0.3">
      <c r="A109">
        <v>108</v>
      </c>
      <c r="B109" s="1" t="s">
        <v>6</v>
      </c>
      <c r="C109">
        <v>185</v>
      </c>
      <c r="D109">
        <v>21</v>
      </c>
    </row>
    <row r="110" spans="1:4" x14ac:dyDescent="0.3">
      <c r="A110">
        <v>109</v>
      </c>
      <c r="B110" s="1" t="s">
        <v>6</v>
      </c>
      <c r="C110">
        <v>215</v>
      </c>
      <c r="D110">
        <v>40</v>
      </c>
    </row>
    <row r="111" spans="1:4" x14ac:dyDescent="0.3">
      <c r="A111">
        <v>110</v>
      </c>
      <c r="B111" s="1" t="s">
        <v>6</v>
      </c>
      <c r="C111">
        <v>170</v>
      </c>
      <c r="D111">
        <v>21</v>
      </c>
    </row>
    <row r="112" spans="1:4" x14ac:dyDescent="0.3">
      <c r="A112">
        <v>111</v>
      </c>
      <c r="B112" s="1" t="s">
        <v>6</v>
      </c>
      <c r="C112">
        <v>180</v>
      </c>
      <c r="D112">
        <v>26</v>
      </c>
    </row>
    <row r="113" spans="1:4" x14ac:dyDescent="0.3">
      <c r="A113">
        <v>112</v>
      </c>
      <c r="B113" s="1" t="s">
        <v>6</v>
      </c>
      <c r="C113">
        <v>175</v>
      </c>
      <c r="D113">
        <v>16</v>
      </c>
    </row>
    <row r="114" spans="1:4" x14ac:dyDescent="0.3">
      <c r="A114">
        <v>113</v>
      </c>
      <c r="B114" s="1" t="s">
        <v>6</v>
      </c>
      <c r="C114">
        <v>165</v>
      </c>
      <c r="D114">
        <v>22</v>
      </c>
    </row>
    <row r="115" spans="1:4" x14ac:dyDescent="0.3">
      <c r="A115">
        <v>114</v>
      </c>
      <c r="B115" s="1" t="s">
        <v>6</v>
      </c>
      <c r="C115">
        <v>205</v>
      </c>
      <c r="D115">
        <v>28</v>
      </c>
    </row>
    <row r="116" spans="1:4" x14ac:dyDescent="0.3">
      <c r="A116">
        <v>115</v>
      </c>
      <c r="B116" s="1" t="s">
        <v>6</v>
      </c>
      <c r="C116">
        <v>170</v>
      </c>
      <c r="D116">
        <v>19</v>
      </c>
    </row>
    <row r="117" spans="1:4" x14ac:dyDescent="0.3">
      <c r="A117">
        <v>116</v>
      </c>
      <c r="B117" s="1" t="s">
        <v>6</v>
      </c>
      <c r="C117">
        <v>195</v>
      </c>
      <c r="D117">
        <v>27</v>
      </c>
    </row>
    <row r="118" spans="1:4" x14ac:dyDescent="0.3">
      <c r="A118">
        <v>117</v>
      </c>
      <c r="B118" s="1" t="s">
        <v>6</v>
      </c>
      <c r="C118">
        <v>195</v>
      </c>
      <c r="D118">
        <v>35</v>
      </c>
    </row>
    <row r="119" spans="1:4" x14ac:dyDescent="0.3">
      <c r="A119">
        <v>118</v>
      </c>
      <c r="B119" s="1" t="s">
        <v>6</v>
      </c>
      <c r="C119">
        <v>190</v>
      </c>
      <c r="D119">
        <v>20</v>
      </c>
    </row>
    <row r="120" spans="1:4" x14ac:dyDescent="0.3">
      <c r="A120">
        <v>119</v>
      </c>
      <c r="B120" s="1" t="s">
        <v>6</v>
      </c>
      <c r="C120">
        <v>200</v>
      </c>
      <c r="D120">
        <v>21</v>
      </c>
    </row>
    <row r="121" spans="1:4" x14ac:dyDescent="0.3">
      <c r="A121">
        <v>120</v>
      </c>
      <c r="B121" s="1" t="s">
        <v>6</v>
      </c>
      <c r="C121">
        <v>190</v>
      </c>
      <c r="D121">
        <v>19</v>
      </c>
    </row>
    <row r="122" spans="1:4" x14ac:dyDescent="0.3">
      <c r="A122">
        <v>121</v>
      </c>
      <c r="B122" s="1" t="s">
        <v>6</v>
      </c>
      <c r="C122">
        <v>160</v>
      </c>
      <c r="D122">
        <v>16</v>
      </c>
    </row>
    <row r="123" spans="1:4" x14ac:dyDescent="0.3">
      <c r="A123">
        <v>122</v>
      </c>
      <c r="B123" s="1" t="s">
        <v>6</v>
      </c>
      <c r="C123">
        <v>190</v>
      </c>
      <c r="D123">
        <v>14</v>
      </c>
    </row>
    <row r="124" spans="1:4" x14ac:dyDescent="0.3">
      <c r="A124">
        <v>123</v>
      </c>
      <c r="B124" s="1" t="s">
        <v>6</v>
      </c>
      <c r="C124">
        <v>175</v>
      </c>
      <c r="D124">
        <v>19</v>
      </c>
    </row>
    <row r="125" spans="1:4" x14ac:dyDescent="0.3">
      <c r="A125">
        <v>124</v>
      </c>
      <c r="B125" s="1" t="s">
        <v>6</v>
      </c>
      <c r="C125">
        <v>185</v>
      </c>
      <c r="D125">
        <v>9</v>
      </c>
    </row>
    <row r="126" spans="1:4" x14ac:dyDescent="0.3">
      <c r="A126">
        <v>125</v>
      </c>
      <c r="B126" s="1" t="s">
        <v>6</v>
      </c>
      <c r="C126">
        <v>180</v>
      </c>
      <c r="D126">
        <v>26</v>
      </c>
    </row>
    <row r="127" spans="1:4" x14ac:dyDescent="0.3">
      <c r="A127">
        <v>126</v>
      </c>
      <c r="B127" s="1" t="s">
        <v>6</v>
      </c>
      <c r="C127">
        <v>175</v>
      </c>
      <c r="D127">
        <v>19</v>
      </c>
    </row>
    <row r="128" spans="1:4" x14ac:dyDescent="0.3">
      <c r="A128">
        <v>127</v>
      </c>
      <c r="B128" s="1" t="s">
        <v>6</v>
      </c>
      <c r="C128">
        <v>210</v>
      </c>
      <c r="D128">
        <v>33</v>
      </c>
    </row>
    <row r="129" spans="1:4" x14ac:dyDescent="0.3">
      <c r="A129">
        <v>128</v>
      </c>
      <c r="B129" s="1" t="s">
        <v>6</v>
      </c>
      <c r="C129">
        <v>190</v>
      </c>
      <c r="D129">
        <v>25</v>
      </c>
    </row>
    <row r="130" spans="1:4" x14ac:dyDescent="0.3">
      <c r="A130">
        <v>129</v>
      </c>
      <c r="B130" s="1" t="s">
        <v>6</v>
      </c>
      <c r="C130">
        <v>175</v>
      </c>
      <c r="D130">
        <v>25</v>
      </c>
    </row>
    <row r="131" spans="1:4" x14ac:dyDescent="0.3">
      <c r="A131">
        <v>130</v>
      </c>
      <c r="B131" s="1" t="s">
        <v>6</v>
      </c>
      <c r="C131">
        <v>190</v>
      </c>
      <c r="D131">
        <v>21</v>
      </c>
    </row>
    <row r="132" spans="1:4" x14ac:dyDescent="0.3">
      <c r="A132">
        <v>131</v>
      </c>
      <c r="B132" s="1" t="s">
        <v>6</v>
      </c>
      <c r="C132">
        <v>170</v>
      </c>
      <c r="D132">
        <v>25</v>
      </c>
    </row>
    <row r="133" spans="1:4" x14ac:dyDescent="0.3">
      <c r="A133">
        <v>132</v>
      </c>
      <c r="B133" s="1" t="s">
        <v>6</v>
      </c>
      <c r="C133">
        <v>175</v>
      </c>
      <c r="D133">
        <v>21</v>
      </c>
    </row>
    <row r="134" spans="1:4" x14ac:dyDescent="0.3">
      <c r="A134">
        <v>133</v>
      </c>
      <c r="B134" s="1" t="s">
        <v>6</v>
      </c>
      <c r="C134">
        <v>170</v>
      </c>
      <c r="D134">
        <v>21</v>
      </c>
    </row>
    <row r="135" spans="1:4" x14ac:dyDescent="0.3">
      <c r="A135">
        <v>134</v>
      </c>
      <c r="B135" s="1" t="s">
        <v>6</v>
      </c>
      <c r="C135">
        <v>175</v>
      </c>
      <c r="D135">
        <v>33</v>
      </c>
    </row>
    <row r="136" spans="1:4" x14ac:dyDescent="0.3">
      <c r="A136">
        <v>135</v>
      </c>
      <c r="B136" s="1" t="s">
        <v>6</v>
      </c>
      <c r="C136">
        <v>180</v>
      </c>
      <c r="D136">
        <v>22</v>
      </c>
    </row>
    <row r="137" spans="1:4" x14ac:dyDescent="0.3">
      <c r="A137">
        <v>136</v>
      </c>
      <c r="B137" s="1" t="s">
        <v>6</v>
      </c>
      <c r="C137">
        <v>220</v>
      </c>
      <c r="D137">
        <v>29</v>
      </c>
    </row>
    <row r="138" spans="1:4" x14ac:dyDescent="0.3">
      <c r="A138">
        <v>137</v>
      </c>
      <c r="B138" s="1" t="s">
        <v>6</v>
      </c>
      <c r="C138">
        <v>160</v>
      </c>
      <c r="D138">
        <v>17</v>
      </c>
    </row>
    <row r="139" spans="1:4" x14ac:dyDescent="0.3">
      <c r="A139">
        <v>138</v>
      </c>
      <c r="B139" s="1" t="s">
        <v>6</v>
      </c>
      <c r="C139">
        <v>175</v>
      </c>
      <c r="D139">
        <v>17</v>
      </c>
    </row>
    <row r="140" spans="1:4" x14ac:dyDescent="0.3">
      <c r="A140">
        <v>139</v>
      </c>
      <c r="B140" s="1" t="s">
        <v>6</v>
      </c>
      <c r="C140">
        <v>185</v>
      </c>
      <c r="D140">
        <v>29</v>
      </c>
    </row>
    <row r="141" spans="1:4" x14ac:dyDescent="0.3">
      <c r="A141">
        <v>140</v>
      </c>
      <c r="B141" s="1" t="s">
        <v>6</v>
      </c>
      <c r="C141">
        <v>220</v>
      </c>
      <c r="D141">
        <v>33</v>
      </c>
    </row>
    <row r="142" spans="1:4" x14ac:dyDescent="0.3">
      <c r="A142">
        <v>141</v>
      </c>
      <c r="B142" s="1" t="s">
        <v>6</v>
      </c>
      <c r="C142">
        <v>195</v>
      </c>
      <c r="D142">
        <v>30</v>
      </c>
    </row>
    <row r="143" spans="1:4" x14ac:dyDescent="0.3">
      <c r="A143">
        <v>142</v>
      </c>
      <c r="B143" s="1" t="s">
        <v>6</v>
      </c>
      <c r="C143">
        <v>180</v>
      </c>
      <c r="D143">
        <v>18</v>
      </c>
    </row>
    <row r="144" spans="1:4" x14ac:dyDescent="0.3">
      <c r="A144">
        <v>143</v>
      </c>
      <c r="B144" s="1" t="s">
        <v>6</v>
      </c>
      <c r="C144">
        <v>210</v>
      </c>
      <c r="D144">
        <v>26</v>
      </c>
    </row>
    <row r="145" spans="1:4" x14ac:dyDescent="0.3">
      <c r="A145">
        <v>144</v>
      </c>
      <c r="B145" s="1" t="s">
        <v>6</v>
      </c>
      <c r="C145">
        <v>205</v>
      </c>
      <c r="D145">
        <v>41</v>
      </c>
    </row>
    <row r="146" spans="1:4" x14ac:dyDescent="0.3">
      <c r="A146">
        <v>145</v>
      </c>
      <c r="B146" s="1" t="s">
        <v>6</v>
      </c>
      <c r="C146">
        <v>155</v>
      </c>
      <c r="D146">
        <v>32</v>
      </c>
    </row>
    <row r="147" spans="1:4" x14ac:dyDescent="0.3">
      <c r="A147">
        <v>146</v>
      </c>
      <c r="B147" s="1" t="s">
        <v>6</v>
      </c>
      <c r="C147">
        <v>180</v>
      </c>
      <c r="D147">
        <v>16</v>
      </c>
    </row>
    <row r="148" spans="1:4" x14ac:dyDescent="0.3">
      <c r="A148">
        <v>147</v>
      </c>
      <c r="B148" s="1" t="s">
        <v>6</v>
      </c>
      <c r="C148">
        <v>175</v>
      </c>
      <c r="D148">
        <v>20</v>
      </c>
    </row>
    <row r="149" spans="1:4" x14ac:dyDescent="0.3">
      <c r="A149">
        <v>148</v>
      </c>
      <c r="B149" s="1" t="s">
        <v>6</v>
      </c>
      <c r="C149">
        <v>165</v>
      </c>
      <c r="D149">
        <v>20</v>
      </c>
    </row>
    <row r="150" spans="1:4" x14ac:dyDescent="0.3">
      <c r="A150">
        <v>149</v>
      </c>
      <c r="B150" s="1" t="s">
        <v>6</v>
      </c>
      <c r="C150">
        <v>195</v>
      </c>
      <c r="D150">
        <v>17</v>
      </c>
    </row>
    <row r="151" spans="1:4" x14ac:dyDescent="0.3">
      <c r="A151">
        <v>150</v>
      </c>
      <c r="B151" s="1" t="s">
        <v>6</v>
      </c>
      <c r="C151">
        <v>195</v>
      </c>
      <c r="D151">
        <v>15</v>
      </c>
    </row>
  </sheetData>
  <mergeCells count="3">
    <mergeCell ref="N31:O31"/>
    <mergeCell ref="K31:L31"/>
    <mergeCell ref="H31:I31"/>
  </mergeCells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F0C8-3DAD-476F-AE4D-F77C0E632DB1}">
  <dimension ref="B4:B8"/>
  <sheetViews>
    <sheetView topLeftCell="A4" workbookViewId="0">
      <selection activeCell="B12" sqref="B12"/>
    </sheetView>
  </sheetViews>
  <sheetFormatPr defaultRowHeight="14.4" x14ac:dyDescent="0.3"/>
  <cols>
    <col min="2" max="2" width="62" customWidth="1"/>
    <col min="3" max="3" width="9.77734375" bestFit="1" customWidth="1"/>
  </cols>
  <sheetData>
    <row r="4" spans="2:2" x14ac:dyDescent="0.3">
      <c r="B4" s="6"/>
    </row>
    <row r="5" spans="2:2" x14ac:dyDescent="0.3">
      <c r="B5" t="s">
        <v>26</v>
      </c>
    </row>
    <row r="6" spans="2:2" x14ac:dyDescent="0.3">
      <c r="B6" t="s">
        <v>27</v>
      </c>
    </row>
    <row r="7" spans="2:2" x14ac:dyDescent="0.3">
      <c r="B7" s="6" t="s">
        <v>28</v>
      </c>
    </row>
    <row r="8" spans="2:2" x14ac:dyDescent="0.3">
      <c r="B8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35F335-E62B-4577-AB2E-A02148ADDD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Analyze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Nuramalia</dc:creator>
  <cp:lastModifiedBy>Salma Nuramalia</cp:lastModifiedBy>
  <dcterms:created xsi:type="dcterms:W3CDTF">2026-01-14T23:12:20Z</dcterms:created>
  <dcterms:modified xsi:type="dcterms:W3CDTF">2026-01-16T02:51:22Z</dcterms:modified>
</cp:coreProperties>
</file>