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fileSharing readOnlyRecommended="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Salma\porto\EXCEL\"/>
    </mc:Choice>
  </mc:AlternateContent>
  <xr:revisionPtr revIDLastSave="0" documentId="13_ncr:1_{3383F28E-9CB5-4964-A830-E99D69543FE7}" xr6:coauthVersionLast="47" xr6:coauthVersionMax="47" xr10:uidLastSave="{00000000-0000-0000-0000-000000000000}"/>
  <bookViews>
    <workbookView xWindow="-108" yWindow="-108" windowWidth="23256" windowHeight="12456" activeTab="1" xr2:uid="{A5B9BCA5-345A-489E-A13C-36AECF08CF2B}"/>
  </bookViews>
  <sheets>
    <sheet name="Bank" sheetId="2" r:id="rId1"/>
    <sheet name="Result" sheetId="6" r:id="rId2"/>
  </sheets>
  <definedNames>
    <definedName name="_xlchart.v1.0" hidden="1">Bank!$C$2:$C$151</definedName>
    <definedName name="_xlchart.v1.1" hidden="1">Bank!$D$2:$D$151</definedName>
    <definedName name="ExternalData_1" localSheetId="0" hidden="1">Bank!$A$1:$D$151</definedName>
  </definedName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6" i="6" l="1"/>
  <c r="L54" i="6"/>
  <c r="L59" i="6"/>
  <c r="L55" i="6"/>
  <c r="M55" i="6" s="1"/>
  <c r="L56" i="6"/>
  <c r="L41" i="6"/>
  <c r="L37" i="6"/>
  <c r="M37" i="6" s="1"/>
  <c r="L38" i="6"/>
  <c r="M38" i="6" s="1"/>
  <c r="R27" i="6"/>
  <c r="Q27" i="6"/>
  <c r="P27" i="6"/>
  <c r="M27" i="6"/>
  <c r="L27" i="6"/>
  <c r="K27" i="6"/>
  <c r="R26" i="6"/>
  <c r="Q26" i="6"/>
  <c r="P26" i="6"/>
  <c r="M26" i="6"/>
  <c r="L26" i="6"/>
  <c r="K26" i="6"/>
  <c r="R25" i="6"/>
  <c r="Q25" i="6"/>
  <c r="P25" i="6"/>
  <c r="M25" i="6"/>
  <c r="L25" i="6"/>
  <c r="K25" i="6"/>
  <c r="M28" i="6" l="1"/>
  <c r="P28" i="6"/>
  <c r="K28" i="6"/>
  <c r="Q28" i="6"/>
  <c r="M36" i="6"/>
  <c r="M54" i="6"/>
  <c r="L28" i="6"/>
  <c r="R28" i="6"/>
  <c r="M56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3409C4-1579-47CE-BB2C-3AF1F3B0218C}" keepAlive="1" name="Query - student_combined_data" description="Connection to the 'student_combined_data' query in the workbook." type="5" refreshedVersion="8" background="1" saveData="1">
    <dbPr connection="Provider=Microsoft.Mashup.OleDb.1;Data Source=$Workbook$;Location=student_combined_data;Extended Properties=&quot;&quot;" command="SELECT * FROM [student_combined_data]"/>
  </connection>
</connections>
</file>

<file path=xl/sharedStrings.xml><?xml version="1.0" encoding="utf-8"?>
<sst xmlns="http://schemas.openxmlformats.org/spreadsheetml/2006/main" count="497" uniqueCount="75">
  <si>
    <t>student_id</t>
  </si>
  <si>
    <t>course_level</t>
  </si>
  <si>
    <t>performance_score</t>
  </si>
  <si>
    <t>aptitude_score</t>
  </si>
  <si>
    <t>Advanced</t>
  </si>
  <si>
    <t>Intermediate</t>
  </si>
  <si>
    <t>Foundation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</si>
  <si>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</si>
  <si>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</si>
  <si>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</si>
  <si>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</si>
  <si>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</si>
  <si>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</si>
  <si>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</si>
  <si>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</si>
  <si>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</si>
  <si>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</si>
  <si>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</si>
  <si>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</si>
  <si>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</si>
  <si>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</si>
  <si>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</si>
  <si>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Level(95,0%)</t>
  </si>
  <si>
    <t>Data Type</t>
  </si>
  <si>
    <t>Whole number</t>
  </si>
  <si>
    <t>Text</t>
  </si>
  <si>
    <t>1. Do students with different performance levels enroll in different course levels?</t>
  </si>
  <si>
    <t>2. Are there significant differences in aptitude scores across course levels?</t>
  </si>
  <si>
    <t>3. What is the correlation between aptitude scores and performance?</t>
  </si>
  <si>
    <t>4. What are the implications for course placement and program quality?</t>
  </si>
  <si>
    <t>Course Level</t>
  </si>
  <si>
    <t>Percentile</t>
  </si>
  <si>
    <t>Min</t>
  </si>
  <si>
    <t>Max</t>
  </si>
  <si>
    <t>Q1</t>
  </si>
  <si>
    <t>Q3</t>
  </si>
  <si>
    <t>Total</t>
  </si>
  <si>
    <t>Rata Rata</t>
  </si>
  <si>
    <t xml:space="preserve">Min </t>
  </si>
  <si>
    <t>Standar Deviasi</t>
  </si>
  <si>
    <t xml:space="preserve">Jumlah </t>
  </si>
  <si>
    <t>Jumlah</t>
  </si>
  <si>
    <t>Rata rata</t>
  </si>
  <si>
    <t>Performance</t>
  </si>
  <si>
    <t>Aptitude</t>
  </si>
  <si>
    <t>Q2 (median)</t>
  </si>
  <si>
    <t>IQR</t>
  </si>
  <si>
    <t>Interpretation</t>
  </si>
  <si>
    <t>Anova: Single Factor</t>
  </si>
  <si>
    <t>SUMMARY</t>
  </si>
  <si>
    <t>Groups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</si>
  <si>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</si>
  <si>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</si>
  <si>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</si>
  <si>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</si>
  <si>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</si>
  <si>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</si>
  <si>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</si>
  <si>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</si>
  <si>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</si>
  <si>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</si>
  <si>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</si>
  <si>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</si>
  <si>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Post Hoc</t>
  </si>
  <si>
    <t>Level</t>
  </si>
  <si>
    <t>Advance VS Intermediate</t>
  </si>
  <si>
    <t>Intermediate VS Foundation</t>
  </si>
  <si>
    <t>Foundation VS Advance</t>
  </si>
  <si>
    <t>P value</t>
  </si>
  <si>
    <t xml:space="preserve">P </t>
  </si>
  <si>
    <t>Significant</t>
  </si>
  <si>
    <t>Correlation</t>
  </si>
  <si>
    <t>Strong</t>
  </si>
  <si>
    <t>Weak</t>
  </si>
  <si>
    <t>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</si>
</sst>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E+00"/>
  </numFmts>
  <fonts count="4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Continuous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2" fillId="2" borderId="4" xfId="0" applyFont="1" applyFill="1" applyBorder="1"/>
    <xf numFmtId="0" fontId="0" fillId="3" borderId="4" xfId="0" applyFill="1" applyBorder="1"/>
    <xf numFmtId="0" fontId="0" fillId="0" borderId="4" xfId="0" applyBorder="1"/>
    <xf numFmtId="0" fontId="0" fillId="0" borderId="5" xfId="0" applyBorder="1"/>
    <xf numFmtId="0" fontId="0" fillId="3" borderId="5" xfId="0" applyFill="1" applyBorder="1"/>
    <xf numFmtId="0" fontId="2" fillId="2" borderId="5" xfId="0" applyFont="1" applyFill="1" applyBorder="1"/>
    <xf numFmtId="0" fontId="1" fillId="0" borderId="2" xfId="0" applyFont="1" applyBorder="1" applyAlignment="1">
      <alignment horizontal="center"/>
    </xf>
    <xf numFmtId="164" fontId="0" fillId="0" borderId="0" xfId="0" applyNumberFormat="1"/>
    <xf numFmtId="0" fontId="3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NumberFormat="1"/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Performance</a:t>
            </a:r>
            <a:r>
              <a:rPr lang="en-ID" baseline="0"/>
              <a:t> vs Aptitude (r = 0,887) 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Bank!$V$2</c:f>
              <c:strCache>
                <c:ptCount val="1"/>
                <c:pt idx="0">
                  <c:v>Advanced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832064741907261"/>
                  <c:y val="-8.397783610382035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Bank!$W$2:$W$51</c:f>
              <c:numCache>
                <c:formatCode>General</c:formatCode>
                <c:ptCount val="50"/>
                <c:pt idx="0">
                  <c:v>370</c:v>
                </c:pt>
                <c:pt idx="1">
                  <c:v>365</c:v>
                </c:pt>
                <c:pt idx="2">
                  <c:v>355</c:v>
                </c:pt>
                <c:pt idx="3">
                  <c:v>345</c:v>
                </c:pt>
                <c:pt idx="4">
                  <c:v>355</c:v>
                </c:pt>
                <c:pt idx="5">
                  <c:v>355</c:v>
                </c:pt>
                <c:pt idx="6">
                  <c:v>375</c:v>
                </c:pt>
                <c:pt idx="7">
                  <c:v>360</c:v>
                </c:pt>
                <c:pt idx="8">
                  <c:v>345</c:v>
                </c:pt>
                <c:pt idx="9">
                  <c:v>355</c:v>
                </c:pt>
                <c:pt idx="10">
                  <c:v>340</c:v>
                </c:pt>
                <c:pt idx="11">
                  <c:v>310</c:v>
                </c:pt>
                <c:pt idx="12">
                  <c:v>375</c:v>
                </c:pt>
                <c:pt idx="13">
                  <c:v>360</c:v>
                </c:pt>
                <c:pt idx="14">
                  <c:v>380</c:v>
                </c:pt>
                <c:pt idx="15">
                  <c:v>355</c:v>
                </c:pt>
                <c:pt idx="16">
                  <c:v>355</c:v>
                </c:pt>
                <c:pt idx="17">
                  <c:v>310</c:v>
                </c:pt>
                <c:pt idx="18">
                  <c:v>355</c:v>
                </c:pt>
                <c:pt idx="19">
                  <c:v>360</c:v>
                </c:pt>
                <c:pt idx="20">
                  <c:v>355</c:v>
                </c:pt>
                <c:pt idx="21">
                  <c:v>360</c:v>
                </c:pt>
                <c:pt idx="22">
                  <c:v>345</c:v>
                </c:pt>
                <c:pt idx="23">
                  <c:v>365</c:v>
                </c:pt>
                <c:pt idx="24">
                  <c:v>345</c:v>
                </c:pt>
                <c:pt idx="25">
                  <c:v>265</c:v>
                </c:pt>
                <c:pt idx="26">
                  <c:v>315</c:v>
                </c:pt>
                <c:pt idx="27">
                  <c:v>305</c:v>
                </c:pt>
                <c:pt idx="28">
                  <c:v>305</c:v>
                </c:pt>
                <c:pt idx="29">
                  <c:v>280</c:v>
                </c:pt>
                <c:pt idx="30">
                  <c:v>335</c:v>
                </c:pt>
                <c:pt idx="31">
                  <c:v>295</c:v>
                </c:pt>
                <c:pt idx="32">
                  <c:v>300</c:v>
                </c:pt>
                <c:pt idx="33">
                  <c:v>305</c:v>
                </c:pt>
                <c:pt idx="34">
                  <c:v>285</c:v>
                </c:pt>
                <c:pt idx="35">
                  <c:v>265</c:v>
                </c:pt>
                <c:pt idx="36">
                  <c:v>320</c:v>
                </c:pt>
                <c:pt idx="37">
                  <c:v>300</c:v>
                </c:pt>
                <c:pt idx="38">
                  <c:v>360</c:v>
                </c:pt>
                <c:pt idx="39">
                  <c:v>275</c:v>
                </c:pt>
                <c:pt idx="40">
                  <c:v>250</c:v>
                </c:pt>
                <c:pt idx="41">
                  <c:v>265</c:v>
                </c:pt>
                <c:pt idx="42">
                  <c:v>275</c:v>
                </c:pt>
                <c:pt idx="43">
                  <c:v>295</c:v>
                </c:pt>
                <c:pt idx="44">
                  <c:v>275</c:v>
                </c:pt>
                <c:pt idx="45">
                  <c:v>295</c:v>
                </c:pt>
                <c:pt idx="46">
                  <c:v>365</c:v>
                </c:pt>
                <c:pt idx="47">
                  <c:v>255</c:v>
                </c:pt>
                <c:pt idx="48">
                  <c:v>280</c:v>
                </c:pt>
                <c:pt idx="49">
                  <c:v>280</c:v>
                </c:pt>
              </c:numCache>
            </c:numRef>
          </c:xVal>
          <c:yVal>
            <c:numRef>
              <c:f>Bank!$X$2:$X$51</c:f>
              <c:numCache>
                <c:formatCode>General</c:formatCode>
                <c:ptCount val="50"/>
                <c:pt idx="0">
                  <c:v>72</c:v>
                </c:pt>
                <c:pt idx="1">
                  <c:v>90</c:v>
                </c:pt>
                <c:pt idx="2">
                  <c:v>68</c:v>
                </c:pt>
                <c:pt idx="3">
                  <c:v>84</c:v>
                </c:pt>
                <c:pt idx="4">
                  <c:v>72</c:v>
                </c:pt>
                <c:pt idx="5">
                  <c:v>83</c:v>
                </c:pt>
                <c:pt idx="6">
                  <c:v>83</c:v>
                </c:pt>
                <c:pt idx="7">
                  <c:v>81</c:v>
                </c:pt>
                <c:pt idx="8">
                  <c:v>79</c:v>
                </c:pt>
                <c:pt idx="9">
                  <c:v>89</c:v>
                </c:pt>
                <c:pt idx="10">
                  <c:v>94</c:v>
                </c:pt>
                <c:pt idx="11">
                  <c:v>52</c:v>
                </c:pt>
                <c:pt idx="12">
                  <c:v>81</c:v>
                </c:pt>
                <c:pt idx="13">
                  <c:v>68</c:v>
                </c:pt>
                <c:pt idx="14">
                  <c:v>88</c:v>
                </c:pt>
                <c:pt idx="15">
                  <c:v>87</c:v>
                </c:pt>
                <c:pt idx="16">
                  <c:v>86</c:v>
                </c:pt>
                <c:pt idx="17">
                  <c:v>66</c:v>
                </c:pt>
                <c:pt idx="18">
                  <c:v>91</c:v>
                </c:pt>
                <c:pt idx="19">
                  <c:v>94</c:v>
                </c:pt>
                <c:pt idx="20">
                  <c:v>71</c:v>
                </c:pt>
                <c:pt idx="21">
                  <c:v>97</c:v>
                </c:pt>
                <c:pt idx="22">
                  <c:v>56</c:v>
                </c:pt>
                <c:pt idx="23">
                  <c:v>94</c:v>
                </c:pt>
                <c:pt idx="24">
                  <c:v>79</c:v>
                </c:pt>
                <c:pt idx="25">
                  <c:v>30</c:v>
                </c:pt>
                <c:pt idx="26">
                  <c:v>55</c:v>
                </c:pt>
                <c:pt idx="27">
                  <c:v>36</c:v>
                </c:pt>
                <c:pt idx="28">
                  <c:v>45</c:v>
                </c:pt>
                <c:pt idx="29">
                  <c:v>33</c:v>
                </c:pt>
                <c:pt idx="30">
                  <c:v>81</c:v>
                </c:pt>
                <c:pt idx="31">
                  <c:v>64</c:v>
                </c:pt>
                <c:pt idx="32">
                  <c:v>65</c:v>
                </c:pt>
                <c:pt idx="33">
                  <c:v>45</c:v>
                </c:pt>
                <c:pt idx="34">
                  <c:v>61</c:v>
                </c:pt>
                <c:pt idx="35">
                  <c:v>75</c:v>
                </c:pt>
                <c:pt idx="36">
                  <c:v>50</c:v>
                </c:pt>
                <c:pt idx="37">
                  <c:v>72</c:v>
                </c:pt>
                <c:pt idx="38">
                  <c:v>92</c:v>
                </c:pt>
                <c:pt idx="39">
                  <c:v>40</c:v>
                </c:pt>
                <c:pt idx="40">
                  <c:v>36</c:v>
                </c:pt>
                <c:pt idx="41">
                  <c:v>50</c:v>
                </c:pt>
                <c:pt idx="42">
                  <c:v>37</c:v>
                </c:pt>
                <c:pt idx="43">
                  <c:v>47</c:v>
                </c:pt>
                <c:pt idx="44">
                  <c:v>65</c:v>
                </c:pt>
                <c:pt idx="45">
                  <c:v>47</c:v>
                </c:pt>
                <c:pt idx="46">
                  <c:v>75</c:v>
                </c:pt>
                <c:pt idx="47">
                  <c:v>50</c:v>
                </c:pt>
                <c:pt idx="48">
                  <c:v>69</c:v>
                </c:pt>
                <c:pt idx="49">
                  <c:v>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10-4819-ABD5-EDFB7BA42279}"/>
            </c:ext>
          </c:extLst>
        </c:ser>
        <c:ser>
          <c:idx val="1"/>
          <c:order val="1"/>
          <c:tx>
            <c:strRef>
              <c:f>Bank!$V$52</c:f>
              <c:strCache>
                <c:ptCount val="1"/>
                <c:pt idx="0">
                  <c:v>Intermediate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373359580052494"/>
                  <c:y val="-3.340696996208807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Bank!$W$52:$W$101</c:f>
              <c:numCache>
                <c:formatCode>General</c:formatCode>
                <c:ptCount val="50"/>
                <c:pt idx="0">
                  <c:v>255</c:v>
                </c:pt>
                <c:pt idx="1">
                  <c:v>235</c:v>
                </c:pt>
                <c:pt idx="2">
                  <c:v>265</c:v>
                </c:pt>
                <c:pt idx="3">
                  <c:v>350</c:v>
                </c:pt>
                <c:pt idx="4">
                  <c:v>260</c:v>
                </c:pt>
                <c:pt idx="5">
                  <c:v>250</c:v>
                </c:pt>
                <c:pt idx="6">
                  <c:v>280</c:v>
                </c:pt>
                <c:pt idx="7">
                  <c:v>265</c:v>
                </c:pt>
                <c:pt idx="8">
                  <c:v>265</c:v>
                </c:pt>
                <c:pt idx="9">
                  <c:v>280</c:v>
                </c:pt>
                <c:pt idx="10">
                  <c:v>205</c:v>
                </c:pt>
                <c:pt idx="11">
                  <c:v>290</c:v>
                </c:pt>
                <c:pt idx="12">
                  <c:v>280</c:v>
                </c:pt>
                <c:pt idx="13">
                  <c:v>275</c:v>
                </c:pt>
                <c:pt idx="14">
                  <c:v>280</c:v>
                </c:pt>
                <c:pt idx="15">
                  <c:v>205</c:v>
                </c:pt>
                <c:pt idx="16">
                  <c:v>290</c:v>
                </c:pt>
                <c:pt idx="17">
                  <c:v>315</c:v>
                </c:pt>
                <c:pt idx="18">
                  <c:v>310</c:v>
                </c:pt>
                <c:pt idx="19">
                  <c:v>330</c:v>
                </c:pt>
                <c:pt idx="20">
                  <c:v>230</c:v>
                </c:pt>
                <c:pt idx="21">
                  <c:v>265</c:v>
                </c:pt>
                <c:pt idx="22">
                  <c:v>355</c:v>
                </c:pt>
                <c:pt idx="23">
                  <c:v>270</c:v>
                </c:pt>
                <c:pt idx="24">
                  <c:v>265</c:v>
                </c:pt>
                <c:pt idx="25">
                  <c:v>205</c:v>
                </c:pt>
                <c:pt idx="26">
                  <c:v>190</c:v>
                </c:pt>
                <c:pt idx="27">
                  <c:v>220</c:v>
                </c:pt>
                <c:pt idx="28">
                  <c:v>230</c:v>
                </c:pt>
                <c:pt idx="29">
                  <c:v>235</c:v>
                </c:pt>
                <c:pt idx="30">
                  <c:v>260</c:v>
                </c:pt>
                <c:pt idx="31">
                  <c:v>215</c:v>
                </c:pt>
                <c:pt idx="32">
                  <c:v>215</c:v>
                </c:pt>
                <c:pt idx="33">
                  <c:v>205</c:v>
                </c:pt>
                <c:pt idx="34">
                  <c:v>215</c:v>
                </c:pt>
                <c:pt idx="35">
                  <c:v>235</c:v>
                </c:pt>
                <c:pt idx="36">
                  <c:v>245</c:v>
                </c:pt>
                <c:pt idx="37">
                  <c:v>225</c:v>
                </c:pt>
                <c:pt idx="38">
                  <c:v>240</c:v>
                </c:pt>
                <c:pt idx="39">
                  <c:v>280</c:v>
                </c:pt>
                <c:pt idx="40">
                  <c:v>295</c:v>
                </c:pt>
                <c:pt idx="41">
                  <c:v>190</c:v>
                </c:pt>
                <c:pt idx="42">
                  <c:v>225</c:v>
                </c:pt>
                <c:pt idx="43">
                  <c:v>220</c:v>
                </c:pt>
                <c:pt idx="44">
                  <c:v>225</c:v>
                </c:pt>
                <c:pt idx="45">
                  <c:v>240</c:v>
                </c:pt>
                <c:pt idx="46">
                  <c:v>255</c:v>
                </c:pt>
                <c:pt idx="47">
                  <c:v>230</c:v>
                </c:pt>
                <c:pt idx="48">
                  <c:v>200</c:v>
                </c:pt>
                <c:pt idx="49">
                  <c:v>225</c:v>
                </c:pt>
              </c:numCache>
            </c:numRef>
          </c:xVal>
          <c:yVal>
            <c:numRef>
              <c:f>Bank!$X$52:$X$101</c:f>
              <c:numCache>
                <c:formatCode>General</c:formatCode>
                <c:ptCount val="50"/>
                <c:pt idx="0">
                  <c:v>74</c:v>
                </c:pt>
                <c:pt idx="1">
                  <c:v>36</c:v>
                </c:pt>
                <c:pt idx="2">
                  <c:v>50</c:v>
                </c:pt>
                <c:pt idx="3">
                  <c:v>67</c:v>
                </c:pt>
                <c:pt idx="4">
                  <c:v>65</c:v>
                </c:pt>
                <c:pt idx="5">
                  <c:v>65</c:v>
                </c:pt>
                <c:pt idx="6">
                  <c:v>49</c:v>
                </c:pt>
                <c:pt idx="7">
                  <c:v>46</c:v>
                </c:pt>
                <c:pt idx="8">
                  <c:v>52</c:v>
                </c:pt>
                <c:pt idx="9">
                  <c:v>51</c:v>
                </c:pt>
                <c:pt idx="10">
                  <c:v>31</c:v>
                </c:pt>
                <c:pt idx="11">
                  <c:v>38</c:v>
                </c:pt>
                <c:pt idx="12">
                  <c:v>57</c:v>
                </c:pt>
                <c:pt idx="13">
                  <c:v>52</c:v>
                </c:pt>
                <c:pt idx="14">
                  <c:v>59</c:v>
                </c:pt>
                <c:pt idx="15">
                  <c:v>32</c:v>
                </c:pt>
                <c:pt idx="16">
                  <c:v>38</c:v>
                </c:pt>
                <c:pt idx="17">
                  <c:v>69</c:v>
                </c:pt>
                <c:pt idx="18">
                  <c:v>54</c:v>
                </c:pt>
                <c:pt idx="19">
                  <c:v>88</c:v>
                </c:pt>
                <c:pt idx="20">
                  <c:v>40</c:v>
                </c:pt>
                <c:pt idx="21">
                  <c:v>65</c:v>
                </c:pt>
                <c:pt idx="22">
                  <c:v>90</c:v>
                </c:pt>
                <c:pt idx="23">
                  <c:v>43</c:v>
                </c:pt>
                <c:pt idx="24">
                  <c:v>62</c:v>
                </c:pt>
                <c:pt idx="25">
                  <c:v>18</c:v>
                </c:pt>
                <c:pt idx="26">
                  <c:v>42</c:v>
                </c:pt>
                <c:pt idx="27">
                  <c:v>33</c:v>
                </c:pt>
                <c:pt idx="28">
                  <c:v>21</c:v>
                </c:pt>
                <c:pt idx="29">
                  <c:v>18</c:v>
                </c:pt>
                <c:pt idx="30">
                  <c:v>23</c:v>
                </c:pt>
                <c:pt idx="31">
                  <c:v>25</c:v>
                </c:pt>
                <c:pt idx="32">
                  <c:v>19</c:v>
                </c:pt>
                <c:pt idx="33">
                  <c:v>44</c:v>
                </c:pt>
                <c:pt idx="34">
                  <c:v>42</c:v>
                </c:pt>
                <c:pt idx="35">
                  <c:v>33</c:v>
                </c:pt>
                <c:pt idx="36">
                  <c:v>22</c:v>
                </c:pt>
                <c:pt idx="37">
                  <c:v>24</c:v>
                </c:pt>
                <c:pt idx="38">
                  <c:v>45</c:v>
                </c:pt>
                <c:pt idx="39">
                  <c:v>29</c:v>
                </c:pt>
                <c:pt idx="40">
                  <c:v>41</c:v>
                </c:pt>
                <c:pt idx="41">
                  <c:v>14</c:v>
                </c:pt>
                <c:pt idx="42">
                  <c:v>37</c:v>
                </c:pt>
                <c:pt idx="43">
                  <c:v>35</c:v>
                </c:pt>
                <c:pt idx="44">
                  <c:v>20</c:v>
                </c:pt>
                <c:pt idx="45">
                  <c:v>31</c:v>
                </c:pt>
                <c:pt idx="46">
                  <c:v>57</c:v>
                </c:pt>
                <c:pt idx="47">
                  <c:v>17</c:v>
                </c:pt>
                <c:pt idx="48">
                  <c:v>32</c:v>
                </c:pt>
                <c:pt idx="49">
                  <c:v>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10-4819-ABD5-EDFB7BA42279}"/>
            </c:ext>
          </c:extLst>
        </c:ser>
        <c:ser>
          <c:idx val="2"/>
          <c:order val="2"/>
          <c:tx>
            <c:strRef>
              <c:f>Bank!$V$102</c:f>
              <c:strCache>
                <c:ptCount val="1"/>
                <c:pt idx="0">
                  <c:v>Foundation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979680664916884"/>
                  <c:y val="0.129020122484689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Bank!$W$102:$W$151</c:f>
              <c:numCache>
                <c:formatCode>General</c:formatCode>
                <c:ptCount val="50"/>
                <c:pt idx="0">
                  <c:v>180</c:v>
                </c:pt>
                <c:pt idx="1">
                  <c:v>190</c:v>
                </c:pt>
                <c:pt idx="2">
                  <c:v>200</c:v>
                </c:pt>
                <c:pt idx="3">
                  <c:v>245</c:v>
                </c:pt>
                <c:pt idx="4">
                  <c:v>180</c:v>
                </c:pt>
                <c:pt idx="5">
                  <c:v>175</c:v>
                </c:pt>
                <c:pt idx="6">
                  <c:v>205</c:v>
                </c:pt>
                <c:pt idx="7">
                  <c:v>185</c:v>
                </c:pt>
                <c:pt idx="8">
                  <c:v>215</c:v>
                </c:pt>
                <c:pt idx="9">
                  <c:v>170</c:v>
                </c:pt>
                <c:pt idx="10">
                  <c:v>180</c:v>
                </c:pt>
                <c:pt idx="11">
                  <c:v>175</c:v>
                </c:pt>
                <c:pt idx="12">
                  <c:v>165</c:v>
                </c:pt>
                <c:pt idx="13">
                  <c:v>205</c:v>
                </c:pt>
                <c:pt idx="14">
                  <c:v>170</c:v>
                </c:pt>
                <c:pt idx="15">
                  <c:v>195</c:v>
                </c:pt>
                <c:pt idx="16">
                  <c:v>195</c:v>
                </c:pt>
                <c:pt idx="17">
                  <c:v>190</c:v>
                </c:pt>
                <c:pt idx="18">
                  <c:v>200</c:v>
                </c:pt>
                <c:pt idx="19">
                  <c:v>190</c:v>
                </c:pt>
                <c:pt idx="20">
                  <c:v>160</c:v>
                </c:pt>
                <c:pt idx="21">
                  <c:v>190</c:v>
                </c:pt>
                <c:pt idx="22">
                  <c:v>175</c:v>
                </c:pt>
                <c:pt idx="23">
                  <c:v>185</c:v>
                </c:pt>
                <c:pt idx="24">
                  <c:v>180</c:v>
                </c:pt>
                <c:pt idx="25">
                  <c:v>175</c:v>
                </c:pt>
                <c:pt idx="26">
                  <c:v>210</c:v>
                </c:pt>
                <c:pt idx="27">
                  <c:v>190</c:v>
                </c:pt>
                <c:pt idx="28">
                  <c:v>175</c:v>
                </c:pt>
                <c:pt idx="29">
                  <c:v>190</c:v>
                </c:pt>
                <c:pt idx="30">
                  <c:v>170</c:v>
                </c:pt>
                <c:pt idx="31">
                  <c:v>175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  <c:pt idx="35">
                  <c:v>220</c:v>
                </c:pt>
                <c:pt idx="36">
                  <c:v>160</c:v>
                </c:pt>
                <c:pt idx="37">
                  <c:v>175</c:v>
                </c:pt>
                <c:pt idx="38">
                  <c:v>185</c:v>
                </c:pt>
                <c:pt idx="39">
                  <c:v>220</c:v>
                </c:pt>
                <c:pt idx="40">
                  <c:v>195</c:v>
                </c:pt>
                <c:pt idx="41">
                  <c:v>180</c:v>
                </c:pt>
                <c:pt idx="42">
                  <c:v>210</c:v>
                </c:pt>
                <c:pt idx="43">
                  <c:v>205</c:v>
                </c:pt>
                <c:pt idx="44">
                  <c:v>155</c:v>
                </c:pt>
                <c:pt idx="45">
                  <c:v>180</c:v>
                </c:pt>
                <c:pt idx="46">
                  <c:v>175</c:v>
                </c:pt>
                <c:pt idx="47">
                  <c:v>165</c:v>
                </c:pt>
                <c:pt idx="48">
                  <c:v>195</c:v>
                </c:pt>
                <c:pt idx="49">
                  <c:v>195</c:v>
                </c:pt>
              </c:numCache>
            </c:numRef>
          </c:xVal>
          <c:yVal>
            <c:numRef>
              <c:f>Bank!$X$102:$X$151</c:f>
              <c:numCache>
                <c:formatCode>General</c:formatCode>
                <c:ptCount val="50"/>
                <c:pt idx="0">
                  <c:v>20</c:v>
                </c:pt>
                <c:pt idx="1">
                  <c:v>13</c:v>
                </c:pt>
                <c:pt idx="2">
                  <c:v>12</c:v>
                </c:pt>
                <c:pt idx="3">
                  <c:v>21</c:v>
                </c:pt>
                <c:pt idx="4">
                  <c:v>25</c:v>
                </c:pt>
                <c:pt idx="5">
                  <c:v>17</c:v>
                </c:pt>
                <c:pt idx="6">
                  <c:v>14</c:v>
                </c:pt>
                <c:pt idx="7">
                  <c:v>21</c:v>
                </c:pt>
                <c:pt idx="8">
                  <c:v>40</c:v>
                </c:pt>
                <c:pt idx="9">
                  <c:v>21</c:v>
                </c:pt>
                <c:pt idx="10">
                  <c:v>26</c:v>
                </c:pt>
                <c:pt idx="11">
                  <c:v>16</c:v>
                </c:pt>
                <c:pt idx="12">
                  <c:v>22</c:v>
                </c:pt>
                <c:pt idx="13">
                  <c:v>28</c:v>
                </c:pt>
                <c:pt idx="14">
                  <c:v>19</c:v>
                </c:pt>
                <c:pt idx="15">
                  <c:v>27</c:v>
                </c:pt>
                <c:pt idx="16">
                  <c:v>35</c:v>
                </c:pt>
                <c:pt idx="17">
                  <c:v>20</c:v>
                </c:pt>
                <c:pt idx="18">
                  <c:v>21</c:v>
                </c:pt>
                <c:pt idx="19">
                  <c:v>19</c:v>
                </c:pt>
                <c:pt idx="20">
                  <c:v>16</c:v>
                </c:pt>
                <c:pt idx="21">
                  <c:v>14</c:v>
                </c:pt>
                <c:pt idx="22">
                  <c:v>19</c:v>
                </c:pt>
                <c:pt idx="23">
                  <c:v>9</c:v>
                </c:pt>
                <c:pt idx="24">
                  <c:v>26</c:v>
                </c:pt>
                <c:pt idx="25">
                  <c:v>19</c:v>
                </c:pt>
                <c:pt idx="26">
                  <c:v>33</c:v>
                </c:pt>
                <c:pt idx="27">
                  <c:v>25</c:v>
                </c:pt>
                <c:pt idx="28">
                  <c:v>25</c:v>
                </c:pt>
                <c:pt idx="29">
                  <c:v>21</c:v>
                </c:pt>
                <c:pt idx="30">
                  <c:v>25</c:v>
                </c:pt>
                <c:pt idx="31">
                  <c:v>21</c:v>
                </c:pt>
                <c:pt idx="32">
                  <c:v>21</c:v>
                </c:pt>
                <c:pt idx="33">
                  <c:v>33</c:v>
                </c:pt>
                <c:pt idx="34">
                  <c:v>22</c:v>
                </c:pt>
                <c:pt idx="35">
                  <c:v>29</c:v>
                </c:pt>
                <c:pt idx="36">
                  <c:v>17</c:v>
                </c:pt>
                <c:pt idx="37">
                  <c:v>17</c:v>
                </c:pt>
                <c:pt idx="38">
                  <c:v>29</c:v>
                </c:pt>
                <c:pt idx="39">
                  <c:v>33</c:v>
                </c:pt>
                <c:pt idx="40">
                  <c:v>30</c:v>
                </c:pt>
                <c:pt idx="41">
                  <c:v>18</c:v>
                </c:pt>
                <c:pt idx="42">
                  <c:v>26</c:v>
                </c:pt>
                <c:pt idx="43">
                  <c:v>41</c:v>
                </c:pt>
                <c:pt idx="44">
                  <c:v>32</c:v>
                </c:pt>
                <c:pt idx="45">
                  <c:v>16</c:v>
                </c:pt>
                <c:pt idx="46">
                  <c:v>20</c:v>
                </c:pt>
                <c:pt idx="47">
                  <c:v>20</c:v>
                </c:pt>
                <c:pt idx="48">
                  <c:v>17</c:v>
                </c:pt>
                <c:pt idx="49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A10-4819-ABD5-EDFB7BA42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542752"/>
        <c:axId val="1470544672"/>
      </c:scatterChart>
      <c:valAx>
        <c:axId val="1470542752"/>
        <c:scaling>
          <c:orientation val="minMax"/>
          <c:min val="1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Performance</a:t>
                </a:r>
                <a:r>
                  <a:rPr lang="en-ID" baseline="0"/>
                  <a:t> Score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544672"/>
        <c:crosses val="autoZero"/>
        <c:crossBetween val="midCat"/>
      </c:valAx>
      <c:valAx>
        <c:axId val="147054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Aptitude</a:t>
                </a:r>
                <a:r>
                  <a:rPr lang="en-ID" baseline="0"/>
                  <a:t> Score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542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Performance</a:t>
            </a:r>
            <a:r>
              <a:rPr lang="en-ID" baseline="0"/>
              <a:t> vs Aptitude (r = 0,887)</a:t>
            </a:r>
            <a:r>
              <a:rPr lang="en-ID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scatter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062543906149663"/>
                  <c:y val="0.30370811206738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Bank!$W$2:$W$151</c:f>
              <c:numCache>
                <c:formatCode>General</c:formatCode>
                <c:ptCount val="150"/>
                <c:pt idx="0">
                  <c:v>370</c:v>
                </c:pt>
                <c:pt idx="1">
                  <c:v>365</c:v>
                </c:pt>
                <c:pt idx="2">
                  <c:v>355</c:v>
                </c:pt>
                <c:pt idx="3">
                  <c:v>345</c:v>
                </c:pt>
                <c:pt idx="4">
                  <c:v>355</c:v>
                </c:pt>
                <c:pt idx="5">
                  <c:v>355</c:v>
                </c:pt>
                <c:pt idx="6">
                  <c:v>375</c:v>
                </c:pt>
                <c:pt idx="7">
                  <c:v>360</c:v>
                </c:pt>
                <c:pt idx="8">
                  <c:v>345</c:v>
                </c:pt>
                <c:pt idx="9">
                  <c:v>355</c:v>
                </c:pt>
                <c:pt idx="10">
                  <c:v>340</c:v>
                </c:pt>
                <c:pt idx="11">
                  <c:v>310</c:v>
                </c:pt>
                <c:pt idx="12">
                  <c:v>375</c:v>
                </c:pt>
                <c:pt idx="13">
                  <c:v>360</c:v>
                </c:pt>
                <c:pt idx="14">
                  <c:v>380</c:v>
                </c:pt>
                <c:pt idx="15">
                  <c:v>355</c:v>
                </c:pt>
                <c:pt idx="16">
                  <c:v>355</c:v>
                </c:pt>
                <c:pt idx="17">
                  <c:v>310</c:v>
                </c:pt>
                <c:pt idx="18">
                  <c:v>355</c:v>
                </c:pt>
                <c:pt idx="19">
                  <c:v>360</c:v>
                </c:pt>
                <c:pt idx="20">
                  <c:v>355</c:v>
                </c:pt>
                <c:pt idx="21">
                  <c:v>360</c:v>
                </c:pt>
                <c:pt idx="22">
                  <c:v>345</c:v>
                </c:pt>
                <c:pt idx="23">
                  <c:v>365</c:v>
                </c:pt>
                <c:pt idx="24">
                  <c:v>345</c:v>
                </c:pt>
                <c:pt idx="25">
                  <c:v>265</c:v>
                </c:pt>
                <c:pt idx="26">
                  <c:v>315</c:v>
                </c:pt>
                <c:pt idx="27">
                  <c:v>305</c:v>
                </c:pt>
                <c:pt idx="28">
                  <c:v>305</c:v>
                </c:pt>
                <c:pt idx="29">
                  <c:v>280</c:v>
                </c:pt>
                <c:pt idx="30">
                  <c:v>335</c:v>
                </c:pt>
                <c:pt idx="31">
                  <c:v>295</c:v>
                </c:pt>
                <c:pt idx="32">
                  <c:v>300</c:v>
                </c:pt>
                <c:pt idx="33">
                  <c:v>305</c:v>
                </c:pt>
                <c:pt idx="34">
                  <c:v>285</c:v>
                </c:pt>
                <c:pt idx="35">
                  <c:v>265</c:v>
                </c:pt>
                <c:pt idx="36">
                  <c:v>320</c:v>
                </c:pt>
                <c:pt idx="37">
                  <c:v>300</c:v>
                </c:pt>
                <c:pt idx="38">
                  <c:v>360</c:v>
                </c:pt>
                <c:pt idx="39">
                  <c:v>275</c:v>
                </c:pt>
                <c:pt idx="40">
                  <c:v>250</c:v>
                </c:pt>
                <c:pt idx="41">
                  <c:v>265</c:v>
                </c:pt>
                <c:pt idx="42">
                  <c:v>275</c:v>
                </c:pt>
                <c:pt idx="43">
                  <c:v>295</c:v>
                </c:pt>
                <c:pt idx="44">
                  <c:v>275</c:v>
                </c:pt>
                <c:pt idx="45">
                  <c:v>295</c:v>
                </c:pt>
                <c:pt idx="46">
                  <c:v>365</c:v>
                </c:pt>
                <c:pt idx="47">
                  <c:v>255</c:v>
                </c:pt>
                <c:pt idx="48">
                  <c:v>280</c:v>
                </c:pt>
                <c:pt idx="49">
                  <c:v>280</c:v>
                </c:pt>
                <c:pt idx="50">
                  <c:v>255</c:v>
                </c:pt>
                <c:pt idx="51">
                  <c:v>235</c:v>
                </c:pt>
                <c:pt idx="52">
                  <c:v>265</c:v>
                </c:pt>
                <c:pt idx="53">
                  <c:v>350</c:v>
                </c:pt>
                <c:pt idx="54">
                  <c:v>260</c:v>
                </c:pt>
                <c:pt idx="55">
                  <c:v>250</c:v>
                </c:pt>
                <c:pt idx="56">
                  <c:v>280</c:v>
                </c:pt>
                <c:pt idx="57">
                  <c:v>265</c:v>
                </c:pt>
                <c:pt idx="58">
                  <c:v>265</c:v>
                </c:pt>
                <c:pt idx="59">
                  <c:v>280</c:v>
                </c:pt>
                <c:pt idx="60">
                  <c:v>205</c:v>
                </c:pt>
                <c:pt idx="61">
                  <c:v>290</c:v>
                </c:pt>
                <c:pt idx="62">
                  <c:v>280</c:v>
                </c:pt>
                <c:pt idx="63">
                  <c:v>275</c:v>
                </c:pt>
                <c:pt idx="64">
                  <c:v>280</c:v>
                </c:pt>
                <c:pt idx="65">
                  <c:v>205</c:v>
                </c:pt>
                <c:pt idx="66">
                  <c:v>290</c:v>
                </c:pt>
                <c:pt idx="67">
                  <c:v>315</c:v>
                </c:pt>
                <c:pt idx="68">
                  <c:v>310</c:v>
                </c:pt>
                <c:pt idx="69">
                  <c:v>330</c:v>
                </c:pt>
                <c:pt idx="70">
                  <c:v>230</c:v>
                </c:pt>
                <c:pt idx="71">
                  <c:v>265</c:v>
                </c:pt>
                <c:pt idx="72">
                  <c:v>355</c:v>
                </c:pt>
                <c:pt idx="73">
                  <c:v>270</c:v>
                </c:pt>
                <c:pt idx="74">
                  <c:v>265</c:v>
                </c:pt>
                <c:pt idx="75">
                  <c:v>205</c:v>
                </c:pt>
                <c:pt idx="76">
                  <c:v>190</c:v>
                </c:pt>
                <c:pt idx="77">
                  <c:v>220</c:v>
                </c:pt>
                <c:pt idx="78">
                  <c:v>230</c:v>
                </c:pt>
                <c:pt idx="79">
                  <c:v>235</c:v>
                </c:pt>
                <c:pt idx="80">
                  <c:v>260</c:v>
                </c:pt>
                <c:pt idx="81">
                  <c:v>215</c:v>
                </c:pt>
                <c:pt idx="82">
                  <c:v>215</c:v>
                </c:pt>
                <c:pt idx="83">
                  <c:v>205</c:v>
                </c:pt>
                <c:pt idx="84">
                  <c:v>215</c:v>
                </c:pt>
                <c:pt idx="85">
                  <c:v>235</c:v>
                </c:pt>
                <c:pt idx="86">
                  <c:v>245</c:v>
                </c:pt>
                <c:pt idx="87">
                  <c:v>225</c:v>
                </c:pt>
                <c:pt idx="88">
                  <c:v>240</c:v>
                </c:pt>
                <c:pt idx="89">
                  <c:v>280</c:v>
                </c:pt>
                <c:pt idx="90">
                  <c:v>295</c:v>
                </c:pt>
                <c:pt idx="91">
                  <c:v>190</c:v>
                </c:pt>
                <c:pt idx="92">
                  <c:v>225</c:v>
                </c:pt>
                <c:pt idx="93">
                  <c:v>220</c:v>
                </c:pt>
                <c:pt idx="94">
                  <c:v>225</c:v>
                </c:pt>
                <c:pt idx="95">
                  <c:v>240</c:v>
                </c:pt>
                <c:pt idx="96">
                  <c:v>255</c:v>
                </c:pt>
                <c:pt idx="97">
                  <c:v>230</c:v>
                </c:pt>
                <c:pt idx="98">
                  <c:v>200</c:v>
                </c:pt>
                <c:pt idx="99">
                  <c:v>225</c:v>
                </c:pt>
                <c:pt idx="100">
                  <c:v>180</c:v>
                </c:pt>
                <c:pt idx="101">
                  <c:v>190</c:v>
                </c:pt>
                <c:pt idx="102">
                  <c:v>200</c:v>
                </c:pt>
                <c:pt idx="103">
                  <c:v>245</c:v>
                </c:pt>
                <c:pt idx="104">
                  <c:v>180</c:v>
                </c:pt>
                <c:pt idx="105">
                  <c:v>175</c:v>
                </c:pt>
                <c:pt idx="106">
                  <c:v>205</c:v>
                </c:pt>
                <c:pt idx="107">
                  <c:v>185</c:v>
                </c:pt>
                <c:pt idx="108">
                  <c:v>215</c:v>
                </c:pt>
                <c:pt idx="109">
                  <c:v>170</c:v>
                </c:pt>
                <c:pt idx="110">
                  <c:v>180</c:v>
                </c:pt>
                <c:pt idx="111">
                  <c:v>175</c:v>
                </c:pt>
                <c:pt idx="112">
                  <c:v>165</c:v>
                </c:pt>
                <c:pt idx="113">
                  <c:v>205</c:v>
                </c:pt>
                <c:pt idx="114">
                  <c:v>170</c:v>
                </c:pt>
                <c:pt idx="115">
                  <c:v>195</c:v>
                </c:pt>
                <c:pt idx="116">
                  <c:v>195</c:v>
                </c:pt>
                <c:pt idx="117">
                  <c:v>190</c:v>
                </c:pt>
                <c:pt idx="118">
                  <c:v>200</c:v>
                </c:pt>
                <c:pt idx="119">
                  <c:v>190</c:v>
                </c:pt>
                <c:pt idx="120">
                  <c:v>160</c:v>
                </c:pt>
                <c:pt idx="121">
                  <c:v>190</c:v>
                </c:pt>
                <c:pt idx="122">
                  <c:v>175</c:v>
                </c:pt>
                <c:pt idx="123">
                  <c:v>185</c:v>
                </c:pt>
                <c:pt idx="124">
                  <c:v>180</c:v>
                </c:pt>
                <c:pt idx="125">
                  <c:v>175</c:v>
                </c:pt>
                <c:pt idx="126">
                  <c:v>210</c:v>
                </c:pt>
                <c:pt idx="127">
                  <c:v>190</c:v>
                </c:pt>
                <c:pt idx="128">
                  <c:v>175</c:v>
                </c:pt>
                <c:pt idx="129">
                  <c:v>190</c:v>
                </c:pt>
                <c:pt idx="130">
                  <c:v>170</c:v>
                </c:pt>
                <c:pt idx="131">
                  <c:v>175</c:v>
                </c:pt>
                <c:pt idx="132">
                  <c:v>170</c:v>
                </c:pt>
                <c:pt idx="133">
                  <c:v>175</c:v>
                </c:pt>
                <c:pt idx="134">
                  <c:v>180</c:v>
                </c:pt>
                <c:pt idx="135">
                  <c:v>220</c:v>
                </c:pt>
                <c:pt idx="136">
                  <c:v>160</c:v>
                </c:pt>
                <c:pt idx="137">
                  <c:v>175</c:v>
                </c:pt>
                <c:pt idx="138">
                  <c:v>185</c:v>
                </c:pt>
                <c:pt idx="139">
                  <c:v>220</c:v>
                </c:pt>
                <c:pt idx="140">
                  <c:v>195</c:v>
                </c:pt>
                <c:pt idx="141">
                  <c:v>180</c:v>
                </c:pt>
                <c:pt idx="142">
                  <c:v>210</c:v>
                </c:pt>
                <c:pt idx="143">
                  <c:v>205</c:v>
                </c:pt>
                <c:pt idx="144">
                  <c:v>155</c:v>
                </c:pt>
                <c:pt idx="145">
                  <c:v>180</c:v>
                </c:pt>
                <c:pt idx="146">
                  <c:v>175</c:v>
                </c:pt>
                <c:pt idx="147">
                  <c:v>165</c:v>
                </c:pt>
                <c:pt idx="148">
                  <c:v>195</c:v>
                </c:pt>
                <c:pt idx="149">
                  <c:v>195</c:v>
                </c:pt>
              </c:numCache>
            </c:numRef>
          </c:xVal>
          <c:yVal>
            <c:numRef>
              <c:f>Bank!$X$2:$X$151</c:f>
              <c:numCache>
                <c:formatCode>General</c:formatCode>
                <c:ptCount val="150"/>
                <c:pt idx="0">
                  <c:v>72</c:v>
                </c:pt>
                <c:pt idx="1">
                  <c:v>90</c:v>
                </c:pt>
                <c:pt idx="2">
                  <c:v>68</c:v>
                </c:pt>
                <c:pt idx="3">
                  <c:v>84</c:v>
                </c:pt>
                <c:pt idx="4">
                  <c:v>72</c:v>
                </c:pt>
                <c:pt idx="5">
                  <c:v>83</c:v>
                </c:pt>
                <c:pt idx="6">
                  <c:v>83</c:v>
                </c:pt>
                <c:pt idx="7">
                  <c:v>81</c:v>
                </c:pt>
                <c:pt idx="8">
                  <c:v>79</c:v>
                </c:pt>
                <c:pt idx="9">
                  <c:v>89</c:v>
                </c:pt>
                <c:pt idx="10">
                  <c:v>94</c:v>
                </c:pt>
                <c:pt idx="11">
                  <c:v>52</c:v>
                </c:pt>
                <c:pt idx="12">
                  <c:v>81</c:v>
                </c:pt>
                <c:pt idx="13">
                  <c:v>68</c:v>
                </c:pt>
                <c:pt idx="14">
                  <c:v>88</c:v>
                </c:pt>
                <c:pt idx="15">
                  <c:v>87</c:v>
                </c:pt>
                <c:pt idx="16">
                  <c:v>86</c:v>
                </c:pt>
                <c:pt idx="17">
                  <c:v>66</c:v>
                </c:pt>
                <c:pt idx="18">
                  <c:v>91</c:v>
                </c:pt>
                <c:pt idx="19">
                  <c:v>94</c:v>
                </c:pt>
                <c:pt idx="20">
                  <c:v>71</c:v>
                </c:pt>
                <c:pt idx="21">
                  <c:v>97</c:v>
                </c:pt>
                <c:pt idx="22">
                  <c:v>56</c:v>
                </c:pt>
                <c:pt idx="23">
                  <c:v>94</c:v>
                </c:pt>
                <c:pt idx="24">
                  <c:v>79</c:v>
                </c:pt>
                <c:pt idx="25">
                  <c:v>30</c:v>
                </c:pt>
                <c:pt idx="26">
                  <c:v>55</c:v>
                </c:pt>
                <c:pt idx="27">
                  <c:v>36</c:v>
                </c:pt>
                <c:pt idx="28">
                  <c:v>45</c:v>
                </c:pt>
                <c:pt idx="29">
                  <c:v>33</c:v>
                </c:pt>
                <c:pt idx="30">
                  <c:v>81</c:v>
                </c:pt>
                <c:pt idx="31">
                  <c:v>64</c:v>
                </c:pt>
                <c:pt idx="32">
                  <c:v>65</c:v>
                </c:pt>
                <c:pt idx="33">
                  <c:v>45</c:v>
                </c:pt>
                <c:pt idx="34">
                  <c:v>61</c:v>
                </c:pt>
                <c:pt idx="35">
                  <c:v>75</c:v>
                </c:pt>
                <c:pt idx="36">
                  <c:v>50</c:v>
                </c:pt>
                <c:pt idx="37">
                  <c:v>72</c:v>
                </c:pt>
                <c:pt idx="38">
                  <c:v>92</c:v>
                </c:pt>
                <c:pt idx="39">
                  <c:v>40</c:v>
                </c:pt>
                <c:pt idx="40">
                  <c:v>36</c:v>
                </c:pt>
                <c:pt idx="41">
                  <c:v>50</c:v>
                </c:pt>
                <c:pt idx="42">
                  <c:v>37</c:v>
                </c:pt>
                <c:pt idx="43">
                  <c:v>47</c:v>
                </c:pt>
                <c:pt idx="44">
                  <c:v>65</c:v>
                </c:pt>
                <c:pt idx="45">
                  <c:v>47</c:v>
                </c:pt>
                <c:pt idx="46">
                  <c:v>75</c:v>
                </c:pt>
                <c:pt idx="47">
                  <c:v>50</c:v>
                </c:pt>
                <c:pt idx="48">
                  <c:v>69</c:v>
                </c:pt>
                <c:pt idx="49">
                  <c:v>48</c:v>
                </c:pt>
                <c:pt idx="50">
                  <c:v>74</c:v>
                </c:pt>
                <c:pt idx="51">
                  <c:v>36</c:v>
                </c:pt>
                <c:pt idx="52">
                  <c:v>50</c:v>
                </c:pt>
                <c:pt idx="53">
                  <c:v>67</c:v>
                </c:pt>
                <c:pt idx="54">
                  <c:v>65</c:v>
                </c:pt>
                <c:pt idx="55">
                  <c:v>65</c:v>
                </c:pt>
                <c:pt idx="56">
                  <c:v>49</c:v>
                </c:pt>
                <c:pt idx="57">
                  <c:v>46</c:v>
                </c:pt>
                <c:pt idx="58">
                  <c:v>52</c:v>
                </c:pt>
                <c:pt idx="59">
                  <c:v>51</c:v>
                </c:pt>
                <c:pt idx="60">
                  <c:v>31</c:v>
                </c:pt>
                <c:pt idx="61">
                  <c:v>38</c:v>
                </c:pt>
                <c:pt idx="62">
                  <c:v>57</c:v>
                </c:pt>
                <c:pt idx="63">
                  <c:v>52</c:v>
                </c:pt>
                <c:pt idx="64">
                  <c:v>59</c:v>
                </c:pt>
                <c:pt idx="65">
                  <c:v>32</c:v>
                </c:pt>
                <c:pt idx="66">
                  <c:v>38</c:v>
                </c:pt>
                <c:pt idx="67">
                  <c:v>69</c:v>
                </c:pt>
                <c:pt idx="68">
                  <c:v>54</c:v>
                </c:pt>
                <c:pt idx="69">
                  <c:v>88</c:v>
                </c:pt>
                <c:pt idx="70">
                  <c:v>40</c:v>
                </c:pt>
                <c:pt idx="71">
                  <c:v>65</c:v>
                </c:pt>
                <c:pt idx="72">
                  <c:v>90</c:v>
                </c:pt>
                <c:pt idx="73">
                  <c:v>43</c:v>
                </c:pt>
                <c:pt idx="74">
                  <c:v>62</c:v>
                </c:pt>
                <c:pt idx="75">
                  <c:v>18</c:v>
                </c:pt>
                <c:pt idx="76">
                  <c:v>42</c:v>
                </c:pt>
                <c:pt idx="77">
                  <c:v>33</c:v>
                </c:pt>
                <c:pt idx="78">
                  <c:v>21</c:v>
                </c:pt>
                <c:pt idx="79">
                  <c:v>18</c:v>
                </c:pt>
                <c:pt idx="80">
                  <c:v>23</c:v>
                </c:pt>
                <c:pt idx="81">
                  <c:v>25</c:v>
                </c:pt>
                <c:pt idx="82">
                  <c:v>19</c:v>
                </c:pt>
                <c:pt idx="83">
                  <c:v>44</c:v>
                </c:pt>
                <c:pt idx="84">
                  <c:v>42</c:v>
                </c:pt>
                <c:pt idx="85">
                  <c:v>33</c:v>
                </c:pt>
                <c:pt idx="86">
                  <c:v>22</c:v>
                </c:pt>
                <c:pt idx="87">
                  <c:v>24</c:v>
                </c:pt>
                <c:pt idx="88">
                  <c:v>45</c:v>
                </c:pt>
                <c:pt idx="89">
                  <c:v>29</c:v>
                </c:pt>
                <c:pt idx="90">
                  <c:v>41</c:v>
                </c:pt>
                <c:pt idx="91">
                  <c:v>14</c:v>
                </c:pt>
                <c:pt idx="92">
                  <c:v>37</c:v>
                </c:pt>
                <c:pt idx="93">
                  <c:v>35</c:v>
                </c:pt>
                <c:pt idx="94">
                  <c:v>20</c:v>
                </c:pt>
                <c:pt idx="95">
                  <c:v>31</c:v>
                </c:pt>
                <c:pt idx="96">
                  <c:v>57</c:v>
                </c:pt>
                <c:pt idx="97">
                  <c:v>17</c:v>
                </c:pt>
                <c:pt idx="98">
                  <c:v>32</c:v>
                </c:pt>
                <c:pt idx="99">
                  <c:v>42</c:v>
                </c:pt>
                <c:pt idx="100">
                  <c:v>20</c:v>
                </c:pt>
                <c:pt idx="101">
                  <c:v>13</c:v>
                </c:pt>
                <c:pt idx="102">
                  <c:v>12</c:v>
                </c:pt>
                <c:pt idx="103">
                  <c:v>21</c:v>
                </c:pt>
                <c:pt idx="104">
                  <c:v>25</c:v>
                </c:pt>
                <c:pt idx="105">
                  <c:v>17</c:v>
                </c:pt>
                <c:pt idx="106">
                  <c:v>14</c:v>
                </c:pt>
                <c:pt idx="107">
                  <c:v>21</c:v>
                </c:pt>
                <c:pt idx="108">
                  <c:v>40</c:v>
                </c:pt>
                <c:pt idx="109">
                  <c:v>21</c:v>
                </c:pt>
                <c:pt idx="110">
                  <c:v>26</c:v>
                </c:pt>
                <c:pt idx="111">
                  <c:v>16</c:v>
                </c:pt>
                <c:pt idx="112">
                  <c:v>22</c:v>
                </c:pt>
                <c:pt idx="113">
                  <c:v>28</c:v>
                </c:pt>
                <c:pt idx="114">
                  <c:v>19</c:v>
                </c:pt>
                <c:pt idx="115">
                  <c:v>27</c:v>
                </c:pt>
                <c:pt idx="116">
                  <c:v>35</c:v>
                </c:pt>
                <c:pt idx="117">
                  <c:v>20</c:v>
                </c:pt>
                <c:pt idx="118">
                  <c:v>21</c:v>
                </c:pt>
                <c:pt idx="119">
                  <c:v>19</c:v>
                </c:pt>
                <c:pt idx="120">
                  <c:v>16</c:v>
                </c:pt>
                <c:pt idx="121">
                  <c:v>14</c:v>
                </c:pt>
                <c:pt idx="122">
                  <c:v>19</c:v>
                </c:pt>
                <c:pt idx="123">
                  <c:v>9</c:v>
                </c:pt>
                <c:pt idx="124">
                  <c:v>26</c:v>
                </c:pt>
                <c:pt idx="125">
                  <c:v>19</c:v>
                </c:pt>
                <c:pt idx="126">
                  <c:v>33</c:v>
                </c:pt>
                <c:pt idx="127">
                  <c:v>25</c:v>
                </c:pt>
                <c:pt idx="128">
                  <c:v>25</c:v>
                </c:pt>
                <c:pt idx="129">
                  <c:v>21</c:v>
                </c:pt>
                <c:pt idx="130">
                  <c:v>25</c:v>
                </c:pt>
                <c:pt idx="131">
                  <c:v>21</c:v>
                </c:pt>
                <c:pt idx="132">
                  <c:v>21</c:v>
                </c:pt>
                <c:pt idx="133">
                  <c:v>33</c:v>
                </c:pt>
                <c:pt idx="134">
                  <c:v>22</c:v>
                </c:pt>
                <c:pt idx="135">
                  <c:v>29</c:v>
                </c:pt>
                <c:pt idx="136">
                  <c:v>17</c:v>
                </c:pt>
                <c:pt idx="137">
                  <c:v>17</c:v>
                </c:pt>
                <c:pt idx="138">
                  <c:v>29</c:v>
                </c:pt>
                <c:pt idx="139">
                  <c:v>33</c:v>
                </c:pt>
                <c:pt idx="140">
                  <c:v>30</c:v>
                </c:pt>
                <c:pt idx="141">
                  <c:v>18</c:v>
                </c:pt>
                <c:pt idx="142">
                  <c:v>26</c:v>
                </c:pt>
                <c:pt idx="143">
                  <c:v>41</c:v>
                </c:pt>
                <c:pt idx="144">
                  <c:v>32</c:v>
                </c:pt>
                <c:pt idx="145">
                  <c:v>16</c:v>
                </c:pt>
                <c:pt idx="146">
                  <c:v>20</c:v>
                </c:pt>
                <c:pt idx="147">
                  <c:v>20</c:v>
                </c:pt>
                <c:pt idx="148">
                  <c:v>17</c:v>
                </c:pt>
                <c:pt idx="149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63-4918-8BAD-83D43EB68A9B}"/>
            </c:ext>
          </c:extLst>
        </c:ser>
        <c:ser>
          <c:idx val="1"/>
          <c:order val="1"/>
          <c:tx>
            <c:strRef>
              <c:f>Bank!$V$2</c:f>
              <c:strCache>
                <c:ptCount val="1"/>
                <c:pt idx="0">
                  <c:v>Advanced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Bank!$W$2:$W$51</c:f>
              <c:numCache>
                <c:formatCode>General</c:formatCode>
                <c:ptCount val="50"/>
                <c:pt idx="0">
                  <c:v>370</c:v>
                </c:pt>
                <c:pt idx="1">
                  <c:v>365</c:v>
                </c:pt>
                <c:pt idx="2">
                  <c:v>355</c:v>
                </c:pt>
                <c:pt idx="3">
                  <c:v>345</c:v>
                </c:pt>
                <c:pt idx="4">
                  <c:v>355</c:v>
                </c:pt>
                <c:pt idx="5">
                  <c:v>355</c:v>
                </c:pt>
                <c:pt idx="6">
                  <c:v>375</c:v>
                </c:pt>
                <c:pt idx="7">
                  <c:v>360</c:v>
                </c:pt>
                <c:pt idx="8">
                  <c:v>345</c:v>
                </c:pt>
                <c:pt idx="9">
                  <c:v>355</c:v>
                </c:pt>
                <c:pt idx="10">
                  <c:v>340</c:v>
                </c:pt>
                <c:pt idx="11">
                  <c:v>310</c:v>
                </c:pt>
                <c:pt idx="12">
                  <c:v>375</c:v>
                </c:pt>
                <c:pt idx="13">
                  <c:v>360</c:v>
                </c:pt>
                <c:pt idx="14">
                  <c:v>380</c:v>
                </c:pt>
                <c:pt idx="15">
                  <c:v>355</c:v>
                </c:pt>
                <c:pt idx="16">
                  <c:v>355</c:v>
                </c:pt>
                <c:pt idx="17">
                  <c:v>310</c:v>
                </c:pt>
                <c:pt idx="18">
                  <c:v>355</c:v>
                </c:pt>
                <c:pt idx="19">
                  <c:v>360</c:v>
                </c:pt>
                <c:pt idx="20">
                  <c:v>355</c:v>
                </c:pt>
                <c:pt idx="21">
                  <c:v>360</c:v>
                </c:pt>
                <c:pt idx="22">
                  <c:v>345</c:v>
                </c:pt>
                <c:pt idx="23">
                  <c:v>365</c:v>
                </c:pt>
                <c:pt idx="24">
                  <c:v>345</c:v>
                </c:pt>
                <c:pt idx="25">
                  <c:v>265</c:v>
                </c:pt>
                <c:pt idx="26">
                  <c:v>315</c:v>
                </c:pt>
                <c:pt idx="27">
                  <c:v>305</c:v>
                </c:pt>
                <c:pt idx="28">
                  <c:v>305</c:v>
                </c:pt>
                <c:pt idx="29">
                  <c:v>280</c:v>
                </c:pt>
                <c:pt idx="30">
                  <c:v>335</c:v>
                </c:pt>
                <c:pt idx="31">
                  <c:v>295</c:v>
                </c:pt>
                <c:pt idx="32">
                  <c:v>300</c:v>
                </c:pt>
                <c:pt idx="33">
                  <c:v>305</c:v>
                </c:pt>
                <c:pt idx="34">
                  <c:v>285</c:v>
                </c:pt>
                <c:pt idx="35">
                  <c:v>265</c:v>
                </c:pt>
                <c:pt idx="36">
                  <c:v>320</c:v>
                </c:pt>
                <c:pt idx="37">
                  <c:v>300</c:v>
                </c:pt>
                <c:pt idx="38">
                  <c:v>360</c:v>
                </c:pt>
                <c:pt idx="39">
                  <c:v>275</c:v>
                </c:pt>
                <c:pt idx="40">
                  <c:v>250</c:v>
                </c:pt>
                <c:pt idx="41">
                  <c:v>265</c:v>
                </c:pt>
                <c:pt idx="42">
                  <c:v>275</c:v>
                </c:pt>
                <c:pt idx="43">
                  <c:v>295</c:v>
                </c:pt>
                <c:pt idx="44">
                  <c:v>275</c:v>
                </c:pt>
                <c:pt idx="45">
                  <c:v>295</c:v>
                </c:pt>
                <c:pt idx="46">
                  <c:v>365</c:v>
                </c:pt>
                <c:pt idx="47">
                  <c:v>255</c:v>
                </c:pt>
                <c:pt idx="48">
                  <c:v>280</c:v>
                </c:pt>
                <c:pt idx="49">
                  <c:v>280</c:v>
                </c:pt>
              </c:numCache>
            </c:numRef>
          </c:xVal>
          <c:yVal>
            <c:numRef>
              <c:f>Bank!$X$2:$X$51</c:f>
              <c:numCache>
                <c:formatCode>General</c:formatCode>
                <c:ptCount val="50"/>
                <c:pt idx="0">
                  <c:v>72</c:v>
                </c:pt>
                <c:pt idx="1">
                  <c:v>90</c:v>
                </c:pt>
                <c:pt idx="2">
                  <c:v>68</c:v>
                </c:pt>
                <c:pt idx="3">
                  <c:v>84</c:v>
                </c:pt>
                <c:pt idx="4">
                  <c:v>72</c:v>
                </c:pt>
                <c:pt idx="5">
                  <c:v>83</c:v>
                </c:pt>
                <c:pt idx="6">
                  <c:v>83</c:v>
                </c:pt>
                <c:pt idx="7">
                  <c:v>81</c:v>
                </c:pt>
                <c:pt idx="8">
                  <c:v>79</c:v>
                </c:pt>
                <c:pt idx="9">
                  <c:v>89</c:v>
                </c:pt>
                <c:pt idx="10">
                  <c:v>94</c:v>
                </c:pt>
                <c:pt idx="11">
                  <c:v>52</c:v>
                </c:pt>
                <c:pt idx="12">
                  <c:v>81</c:v>
                </c:pt>
                <c:pt idx="13">
                  <c:v>68</c:v>
                </c:pt>
                <c:pt idx="14">
                  <c:v>88</c:v>
                </c:pt>
                <c:pt idx="15">
                  <c:v>87</c:v>
                </c:pt>
                <c:pt idx="16">
                  <c:v>86</c:v>
                </c:pt>
                <c:pt idx="17">
                  <c:v>66</c:v>
                </c:pt>
                <c:pt idx="18">
                  <c:v>91</c:v>
                </c:pt>
                <c:pt idx="19">
                  <c:v>94</c:v>
                </c:pt>
                <c:pt idx="20">
                  <c:v>71</c:v>
                </c:pt>
                <c:pt idx="21">
                  <c:v>97</c:v>
                </c:pt>
                <c:pt idx="22">
                  <c:v>56</c:v>
                </c:pt>
                <c:pt idx="23">
                  <c:v>94</c:v>
                </c:pt>
                <c:pt idx="24">
                  <c:v>79</c:v>
                </c:pt>
                <c:pt idx="25">
                  <c:v>30</c:v>
                </c:pt>
                <c:pt idx="26">
                  <c:v>55</c:v>
                </c:pt>
                <c:pt idx="27">
                  <c:v>36</c:v>
                </c:pt>
                <c:pt idx="28">
                  <c:v>45</c:v>
                </c:pt>
                <c:pt idx="29">
                  <c:v>33</c:v>
                </c:pt>
                <c:pt idx="30">
                  <c:v>81</c:v>
                </c:pt>
                <c:pt idx="31">
                  <c:v>64</c:v>
                </c:pt>
                <c:pt idx="32">
                  <c:v>65</c:v>
                </c:pt>
                <c:pt idx="33">
                  <c:v>45</c:v>
                </c:pt>
                <c:pt idx="34">
                  <c:v>61</c:v>
                </c:pt>
                <c:pt idx="35">
                  <c:v>75</c:v>
                </c:pt>
                <c:pt idx="36">
                  <c:v>50</c:v>
                </c:pt>
                <c:pt idx="37">
                  <c:v>72</c:v>
                </c:pt>
                <c:pt idx="38">
                  <c:v>92</c:v>
                </c:pt>
                <c:pt idx="39">
                  <c:v>40</c:v>
                </c:pt>
                <c:pt idx="40">
                  <c:v>36</c:v>
                </c:pt>
                <c:pt idx="41">
                  <c:v>50</c:v>
                </c:pt>
                <c:pt idx="42">
                  <c:v>37</c:v>
                </c:pt>
                <c:pt idx="43">
                  <c:v>47</c:v>
                </c:pt>
                <c:pt idx="44">
                  <c:v>65</c:v>
                </c:pt>
                <c:pt idx="45">
                  <c:v>47</c:v>
                </c:pt>
                <c:pt idx="46">
                  <c:v>75</c:v>
                </c:pt>
                <c:pt idx="47">
                  <c:v>50</c:v>
                </c:pt>
                <c:pt idx="48">
                  <c:v>69</c:v>
                </c:pt>
                <c:pt idx="49">
                  <c:v>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63-4918-8BAD-83D43EB68A9B}"/>
            </c:ext>
          </c:extLst>
        </c:ser>
        <c:ser>
          <c:idx val="2"/>
          <c:order val="2"/>
          <c:tx>
            <c:strRef>
              <c:f>Bank!$V$52</c:f>
              <c:strCache>
                <c:ptCount val="1"/>
                <c:pt idx="0">
                  <c:v>Intermediate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Bank!$W$52:$W$101</c:f>
              <c:numCache>
                <c:formatCode>General</c:formatCode>
                <c:ptCount val="50"/>
                <c:pt idx="0">
                  <c:v>255</c:v>
                </c:pt>
                <c:pt idx="1">
                  <c:v>235</c:v>
                </c:pt>
                <c:pt idx="2">
                  <c:v>265</c:v>
                </c:pt>
                <c:pt idx="3">
                  <c:v>350</c:v>
                </c:pt>
                <c:pt idx="4">
                  <c:v>260</c:v>
                </c:pt>
                <c:pt idx="5">
                  <c:v>250</c:v>
                </c:pt>
                <c:pt idx="6">
                  <c:v>280</c:v>
                </c:pt>
                <c:pt idx="7">
                  <c:v>265</c:v>
                </c:pt>
                <c:pt idx="8">
                  <c:v>265</c:v>
                </c:pt>
                <c:pt idx="9">
                  <c:v>280</c:v>
                </c:pt>
                <c:pt idx="10">
                  <c:v>205</c:v>
                </c:pt>
                <c:pt idx="11">
                  <c:v>290</c:v>
                </c:pt>
                <c:pt idx="12">
                  <c:v>280</c:v>
                </c:pt>
                <c:pt idx="13">
                  <c:v>275</c:v>
                </c:pt>
                <c:pt idx="14">
                  <c:v>280</c:v>
                </c:pt>
                <c:pt idx="15">
                  <c:v>205</c:v>
                </c:pt>
                <c:pt idx="16">
                  <c:v>290</c:v>
                </c:pt>
                <c:pt idx="17">
                  <c:v>315</c:v>
                </c:pt>
                <c:pt idx="18">
                  <c:v>310</c:v>
                </c:pt>
                <c:pt idx="19">
                  <c:v>330</c:v>
                </c:pt>
                <c:pt idx="20">
                  <c:v>230</c:v>
                </c:pt>
                <c:pt idx="21">
                  <c:v>265</c:v>
                </c:pt>
                <c:pt idx="22">
                  <c:v>355</c:v>
                </c:pt>
                <c:pt idx="23">
                  <c:v>270</c:v>
                </c:pt>
                <c:pt idx="24">
                  <c:v>265</c:v>
                </c:pt>
                <c:pt idx="25">
                  <c:v>205</c:v>
                </c:pt>
                <c:pt idx="26">
                  <c:v>190</c:v>
                </c:pt>
                <c:pt idx="27">
                  <c:v>220</c:v>
                </c:pt>
                <c:pt idx="28">
                  <c:v>230</c:v>
                </c:pt>
                <c:pt idx="29">
                  <c:v>235</c:v>
                </c:pt>
                <c:pt idx="30">
                  <c:v>260</c:v>
                </c:pt>
                <c:pt idx="31">
                  <c:v>215</c:v>
                </c:pt>
                <c:pt idx="32">
                  <c:v>215</c:v>
                </c:pt>
                <c:pt idx="33">
                  <c:v>205</c:v>
                </c:pt>
                <c:pt idx="34">
                  <c:v>215</c:v>
                </c:pt>
                <c:pt idx="35">
                  <c:v>235</c:v>
                </c:pt>
                <c:pt idx="36">
                  <c:v>245</c:v>
                </c:pt>
                <c:pt idx="37">
                  <c:v>225</c:v>
                </c:pt>
                <c:pt idx="38">
                  <c:v>240</c:v>
                </c:pt>
                <c:pt idx="39">
                  <c:v>280</c:v>
                </c:pt>
                <c:pt idx="40">
                  <c:v>295</c:v>
                </c:pt>
                <c:pt idx="41">
                  <c:v>190</c:v>
                </c:pt>
                <c:pt idx="42">
                  <c:v>225</c:v>
                </c:pt>
                <c:pt idx="43">
                  <c:v>220</c:v>
                </c:pt>
                <c:pt idx="44">
                  <c:v>225</c:v>
                </c:pt>
                <c:pt idx="45">
                  <c:v>240</c:v>
                </c:pt>
                <c:pt idx="46">
                  <c:v>255</c:v>
                </c:pt>
                <c:pt idx="47">
                  <c:v>230</c:v>
                </c:pt>
                <c:pt idx="48">
                  <c:v>200</c:v>
                </c:pt>
                <c:pt idx="49">
                  <c:v>225</c:v>
                </c:pt>
              </c:numCache>
            </c:numRef>
          </c:xVal>
          <c:yVal>
            <c:numRef>
              <c:f>Bank!$X$52:$X$101</c:f>
              <c:numCache>
                <c:formatCode>General</c:formatCode>
                <c:ptCount val="50"/>
                <c:pt idx="0">
                  <c:v>74</c:v>
                </c:pt>
                <c:pt idx="1">
                  <c:v>36</c:v>
                </c:pt>
                <c:pt idx="2">
                  <c:v>50</c:v>
                </c:pt>
                <c:pt idx="3">
                  <c:v>67</c:v>
                </c:pt>
                <c:pt idx="4">
                  <c:v>65</c:v>
                </c:pt>
                <c:pt idx="5">
                  <c:v>65</c:v>
                </c:pt>
                <c:pt idx="6">
                  <c:v>49</c:v>
                </c:pt>
                <c:pt idx="7">
                  <c:v>46</c:v>
                </c:pt>
                <c:pt idx="8">
                  <c:v>52</c:v>
                </c:pt>
                <c:pt idx="9">
                  <c:v>51</c:v>
                </c:pt>
                <c:pt idx="10">
                  <c:v>31</c:v>
                </c:pt>
                <c:pt idx="11">
                  <c:v>38</c:v>
                </c:pt>
                <c:pt idx="12">
                  <c:v>57</c:v>
                </c:pt>
                <c:pt idx="13">
                  <c:v>52</c:v>
                </c:pt>
                <c:pt idx="14">
                  <c:v>59</c:v>
                </c:pt>
                <c:pt idx="15">
                  <c:v>32</c:v>
                </c:pt>
                <c:pt idx="16">
                  <c:v>38</c:v>
                </c:pt>
                <c:pt idx="17">
                  <c:v>69</c:v>
                </c:pt>
                <c:pt idx="18">
                  <c:v>54</c:v>
                </c:pt>
                <c:pt idx="19">
                  <c:v>88</c:v>
                </c:pt>
                <c:pt idx="20">
                  <c:v>40</c:v>
                </c:pt>
                <c:pt idx="21">
                  <c:v>65</c:v>
                </c:pt>
                <c:pt idx="22">
                  <c:v>90</c:v>
                </c:pt>
                <c:pt idx="23">
                  <c:v>43</c:v>
                </c:pt>
                <c:pt idx="24">
                  <c:v>62</c:v>
                </c:pt>
                <c:pt idx="25">
                  <c:v>18</c:v>
                </c:pt>
                <c:pt idx="26">
                  <c:v>42</c:v>
                </c:pt>
                <c:pt idx="27">
                  <c:v>33</c:v>
                </c:pt>
                <c:pt idx="28">
                  <c:v>21</c:v>
                </c:pt>
                <c:pt idx="29">
                  <c:v>18</c:v>
                </c:pt>
                <c:pt idx="30">
                  <c:v>23</c:v>
                </c:pt>
                <c:pt idx="31">
                  <c:v>25</c:v>
                </c:pt>
                <c:pt idx="32">
                  <c:v>19</c:v>
                </c:pt>
                <c:pt idx="33">
                  <c:v>44</c:v>
                </c:pt>
                <c:pt idx="34">
                  <c:v>42</c:v>
                </c:pt>
                <c:pt idx="35">
                  <c:v>33</c:v>
                </c:pt>
                <c:pt idx="36">
                  <c:v>22</c:v>
                </c:pt>
                <c:pt idx="37">
                  <c:v>24</c:v>
                </c:pt>
                <c:pt idx="38">
                  <c:v>45</c:v>
                </c:pt>
                <c:pt idx="39">
                  <c:v>29</c:v>
                </c:pt>
                <c:pt idx="40">
                  <c:v>41</c:v>
                </c:pt>
                <c:pt idx="41">
                  <c:v>14</c:v>
                </c:pt>
                <c:pt idx="42">
                  <c:v>37</c:v>
                </c:pt>
                <c:pt idx="43">
                  <c:v>35</c:v>
                </c:pt>
                <c:pt idx="44">
                  <c:v>20</c:v>
                </c:pt>
                <c:pt idx="45">
                  <c:v>31</c:v>
                </c:pt>
                <c:pt idx="46">
                  <c:v>57</c:v>
                </c:pt>
                <c:pt idx="47">
                  <c:v>17</c:v>
                </c:pt>
                <c:pt idx="48">
                  <c:v>32</c:v>
                </c:pt>
                <c:pt idx="49">
                  <c:v>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63-4918-8BAD-83D43EB68A9B}"/>
            </c:ext>
          </c:extLst>
        </c:ser>
        <c:ser>
          <c:idx val="3"/>
          <c:order val="3"/>
          <c:tx>
            <c:strRef>
              <c:f>Bank!$V$102</c:f>
              <c:strCache>
                <c:ptCount val="1"/>
                <c:pt idx="0">
                  <c:v>Foundation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Bank!$W$102:$W$151</c:f>
              <c:numCache>
                <c:formatCode>General</c:formatCode>
                <c:ptCount val="50"/>
                <c:pt idx="0">
                  <c:v>180</c:v>
                </c:pt>
                <c:pt idx="1">
                  <c:v>190</c:v>
                </c:pt>
                <c:pt idx="2">
                  <c:v>200</c:v>
                </c:pt>
                <c:pt idx="3">
                  <c:v>245</c:v>
                </c:pt>
                <c:pt idx="4">
                  <c:v>180</c:v>
                </c:pt>
                <c:pt idx="5">
                  <c:v>175</c:v>
                </c:pt>
                <c:pt idx="6">
                  <c:v>205</c:v>
                </c:pt>
                <c:pt idx="7">
                  <c:v>185</c:v>
                </c:pt>
                <c:pt idx="8">
                  <c:v>215</c:v>
                </c:pt>
                <c:pt idx="9">
                  <c:v>170</c:v>
                </c:pt>
                <c:pt idx="10">
                  <c:v>180</c:v>
                </c:pt>
                <c:pt idx="11">
                  <c:v>175</c:v>
                </c:pt>
                <c:pt idx="12">
                  <c:v>165</c:v>
                </c:pt>
                <c:pt idx="13">
                  <c:v>205</c:v>
                </c:pt>
                <c:pt idx="14">
                  <c:v>170</c:v>
                </c:pt>
                <c:pt idx="15">
                  <c:v>195</c:v>
                </c:pt>
                <c:pt idx="16">
                  <c:v>195</c:v>
                </c:pt>
                <c:pt idx="17">
                  <c:v>190</c:v>
                </c:pt>
                <c:pt idx="18">
                  <c:v>200</c:v>
                </c:pt>
                <c:pt idx="19">
                  <c:v>190</c:v>
                </c:pt>
                <c:pt idx="20">
                  <c:v>160</c:v>
                </c:pt>
                <c:pt idx="21">
                  <c:v>190</c:v>
                </c:pt>
                <c:pt idx="22">
                  <c:v>175</c:v>
                </c:pt>
                <c:pt idx="23">
                  <c:v>185</c:v>
                </c:pt>
                <c:pt idx="24">
                  <c:v>180</c:v>
                </c:pt>
                <c:pt idx="25">
                  <c:v>175</c:v>
                </c:pt>
                <c:pt idx="26">
                  <c:v>210</c:v>
                </c:pt>
                <c:pt idx="27">
                  <c:v>190</c:v>
                </c:pt>
                <c:pt idx="28">
                  <c:v>175</c:v>
                </c:pt>
                <c:pt idx="29">
                  <c:v>190</c:v>
                </c:pt>
                <c:pt idx="30">
                  <c:v>170</c:v>
                </c:pt>
                <c:pt idx="31">
                  <c:v>175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  <c:pt idx="35">
                  <c:v>220</c:v>
                </c:pt>
                <c:pt idx="36">
                  <c:v>160</c:v>
                </c:pt>
                <c:pt idx="37">
                  <c:v>175</c:v>
                </c:pt>
                <c:pt idx="38">
                  <c:v>185</c:v>
                </c:pt>
                <c:pt idx="39">
                  <c:v>220</c:v>
                </c:pt>
                <c:pt idx="40">
                  <c:v>195</c:v>
                </c:pt>
                <c:pt idx="41">
                  <c:v>180</c:v>
                </c:pt>
                <c:pt idx="42">
                  <c:v>210</c:v>
                </c:pt>
                <c:pt idx="43">
                  <c:v>205</c:v>
                </c:pt>
                <c:pt idx="44">
                  <c:v>155</c:v>
                </c:pt>
                <c:pt idx="45">
                  <c:v>180</c:v>
                </c:pt>
                <c:pt idx="46">
                  <c:v>175</c:v>
                </c:pt>
                <c:pt idx="47">
                  <c:v>165</c:v>
                </c:pt>
                <c:pt idx="48">
                  <c:v>195</c:v>
                </c:pt>
                <c:pt idx="49">
                  <c:v>195</c:v>
                </c:pt>
              </c:numCache>
            </c:numRef>
          </c:xVal>
          <c:yVal>
            <c:numRef>
              <c:f>Bank!$X$102:$X$151</c:f>
              <c:numCache>
                <c:formatCode>General</c:formatCode>
                <c:ptCount val="50"/>
                <c:pt idx="0">
                  <c:v>20</c:v>
                </c:pt>
                <c:pt idx="1">
                  <c:v>13</c:v>
                </c:pt>
                <c:pt idx="2">
                  <c:v>12</c:v>
                </c:pt>
                <c:pt idx="3">
                  <c:v>21</c:v>
                </c:pt>
                <c:pt idx="4">
                  <c:v>25</c:v>
                </c:pt>
                <c:pt idx="5">
                  <c:v>17</c:v>
                </c:pt>
                <c:pt idx="6">
                  <c:v>14</c:v>
                </c:pt>
                <c:pt idx="7">
                  <c:v>21</c:v>
                </c:pt>
                <c:pt idx="8">
                  <c:v>40</c:v>
                </c:pt>
                <c:pt idx="9">
                  <c:v>21</c:v>
                </c:pt>
                <c:pt idx="10">
                  <c:v>26</c:v>
                </c:pt>
                <c:pt idx="11">
                  <c:v>16</c:v>
                </c:pt>
                <c:pt idx="12">
                  <c:v>22</c:v>
                </c:pt>
                <c:pt idx="13">
                  <c:v>28</c:v>
                </c:pt>
                <c:pt idx="14">
                  <c:v>19</c:v>
                </c:pt>
                <c:pt idx="15">
                  <c:v>27</c:v>
                </c:pt>
                <c:pt idx="16">
                  <c:v>35</c:v>
                </c:pt>
                <c:pt idx="17">
                  <c:v>20</c:v>
                </c:pt>
                <c:pt idx="18">
                  <c:v>21</c:v>
                </c:pt>
                <c:pt idx="19">
                  <c:v>19</c:v>
                </c:pt>
                <c:pt idx="20">
                  <c:v>16</c:v>
                </c:pt>
                <c:pt idx="21">
                  <c:v>14</c:v>
                </c:pt>
                <c:pt idx="22">
                  <c:v>19</c:v>
                </c:pt>
                <c:pt idx="23">
                  <c:v>9</c:v>
                </c:pt>
                <c:pt idx="24">
                  <c:v>26</c:v>
                </c:pt>
                <c:pt idx="25">
                  <c:v>19</c:v>
                </c:pt>
                <c:pt idx="26">
                  <c:v>33</c:v>
                </c:pt>
                <c:pt idx="27">
                  <c:v>25</c:v>
                </c:pt>
                <c:pt idx="28">
                  <c:v>25</c:v>
                </c:pt>
                <c:pt idx="29">
                  <c:v>21</c:v>
                </c:pt>
                <c:pt idx="30">
                  <c:v>25</c:v>
                </c:pt>
                <c:pt idx="31">
                  <c:v>21</c:v>
                </c:pt>
                <c:pt idx="32">
                  <c:v>21</c:v>
                </c:pt>
                <c:pt idx="33">
                  <c:v>33</c:v>
                </c:pt>
                <c:pt idx="34">
                  <c:v>22</c:v>
                </c:pt>
                <c:pt idx="35">
                  <c:v>29</c:v>
                </c:pt>
                <c:pt idx="36">
                  <c:v>17</c:v>
                </c:pt>
                <c:pt idx="37">
                  <c:v>17</c:v>
                </c:pt>
                <c:pt idx="38">
                  <c:v>29</c:v>
                </c:pt>
                <c:pt idx="39">
                  <c:v>33</c:v>
                </c:pt>
                <c:pt idx="40">
                  <c:v>30</c:v>
                </c:pt>
                <c:pt idx="41">
                  <c:v>18</c:v>
                </c:pt>
                <c:pt idx="42">
                  <c:v>26</c:v>
                </c:pt>
                <c:pt idx="43">
                  <c:v>41</c:v>
                </c:pt>
                <c:pt idx="44">
                  <c:v>32</c:v>
                </c:pt>
                <c:pt idx="45">
                  <c:v>16</c:v>
                </c:pt>
                <c:pt idx="46">
                  <c:v>20</c:v>
                </c:pt>
                <c:pt idx="47">
                  <c:v>20</c:v>
                </c:pt>
                <c:pt idx="48">
                  <c:v>17</c:v>
                </c:pt>
                <c:pt idx="49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63-4918-8BAD-83D43EB68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6264943"/>
        <c:axId val="1286257743"/>
      </c:scatterChart>
      <c:valAx>
        <c:axId val="1286264943"/>
        <c:scaling>
          <c:orientation val="minMax"/>
          <c:min val="1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Performance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257743"/>
        <c:crosses val="autoZero"/>
        <c:crossBetween val="midCat"/>
      </c:valAx>
      <c:valAx>
        <c:axId val="128625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Aptitude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264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15177413168181561"/>
          <c:y val="0.19831532686321188"/>
          <c:w val="0.16951760340302291"/>
          <c:h val="0.1629135384239760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Mean Performance Score by level (with SD)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Result!$J$13:$J$15</c:f>
              <c:strCache>
                <c:ptCount val="3"/>
                <c:pt idx="0">
                  <c:v>Advanced</c:v>
                </c:pt>
                <c:pt idx="1">
                  <c:v>Foundation</c:v>
                </c:pt>
                <c:pt idx="2">
                  <c:v>Intermediate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458871145409809E-17"/>
                  <c:y val="-5.957198377592563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6FC-4CB7-8A5B-04C7F16755E5}"/>
                </c:ext>
              </c:extLst>
            </c:dLbl>
            <c:dLbl>
              <c:idx val="1"/>
              <c:layout>
                <c:manualLayout>
                  <c:x val="0"/>
                  <c:y val="-3.665968232364653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6FC-4CB7-8A5B-04C7F16755E5}"/>
                </c:ext>
              </c:extLst>
            </c:dLbl>
            <c:dLbl>
              <c:idx val="2"/>
              <c:layout>
                <c:manualLayout>
                  <c:x val="0"/>
                  <c:y val="-4.582460290455817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6FC-4CB7-8A5B-04C7F16755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Result!$P$13:$P$15</c:f>
                <c:numCache>
                  <c:formatCode>General</c:formatCode>
                  <c:ptCount val="3"/>
                  <c:pt idx="0">
                    <c:v>38.402938875634433</c:v>
                  </c:pt>
                  <c:pt idx="1">
                    <c:v>17.677669529663689</c:v>
                  </c:pt>
                  <c:pt idx="2">
                    <c:v>39.14598527646617</c:v>
                  </c:pt>
                </c:numCache>
              </c:numRef>
            </c:plus>
            <c:minus>
              <c:numRef>
                <c:f>Result!$P$13:$P$15</c:f>
                <c:numCache>
                  <c:formatCode>General</c:formatCode>
                  <c:ptCount val="3"/>
                  <c:pt idx="0">
                    <c:v>38.402938875634433</c:v>
                  </c:pt>
                  <c:pt idx="1">
                    <c:v>17.677669529663689</c:v>
                  </c:pt>
                  <c:pt idx="2">
                    <c:v>39.14598527646617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Result!$J$13:$J$15</c:f>
              <c:strCache>
                <c:ptCount val="3"/>
                <c:pt idx="0">
                  <c:v>Advanced</c:v>
                </c:pt>
                <c:pt idx="1">
                  <c:v>Foundation</c:v>
                </c:pt>
                <c:pt idx="2">
                  <c:v>Intermediate</c:v>
                </c:pt>
              </c:strCache>
            </c:strRef>
          </c:cat>
          <c:val>
            <c:numRef>
              <c:f>Result!$M$13:$M$15</c:f>
              <c:numCache>
                <c:formatCode>General</c:formatCode>
                <c:ptCount val="3"/>
                <c:pt idx="0">
                  <c:v>323.89999999999998</c:v>
                </c:pt>
                <c:pt idx="1">
                  <c:v>186.5</c:v>
                </c:pt>
                <c:pt idx="2">
                  <c:v>251.8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FC-4CB7-8A5B-04C7F16755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00946831"/>
        <c:axId val="1800943951"/>
      </c:barChart>
      <c:catAx>
        <c:axId val="1800946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Course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943951"/>
        <c:crosses val="autoZero"/>
        <c:auto val="1"/>
        <c:lblAlgn val="ctr"/>
        <c:lblOffset val="100"/>
        <c:noMultiLvlLbl val="0"/>
      </c:catAx>
      <c:valAx>
        <c:axId val="180094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Mean</a:t>
                </a:r>
                <a:r>
                  <a:rPr lang="en-ID" baseline="0"/>
                  <a:t> Performance Score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946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Mean Aptitude Score by level (with SD)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Result!$M$18</c:f>
              <c:strCache>
                <c:ptCount val="1"/>
                <c:pt idx="0">
                  <c:v>Rata rata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7773634816504003E-3"/>
                  <c:y val="-0.128394548214391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23A-447C-A55D-1DF45FA390E1}"/>
                </c:ext>
              </c:extLst>
            </c:dLbl>
            <c:dLbl>
              <c:idx val="1"/>
              <c:layout>
                <c:manualLayout>
                  <c:x val="0"/>
                  <c:y val="-7.336831326536653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23A-447C-A55D-1DF45FA390E1}"/>
                </c:ext>
              </c:extLst>
            </c:dLbl>
            <c:dLbl>
              <c:idx val="2"/>
              <c:layout>
                <c:manualLayout>
                  <c:x val="-2.777363481650477E-3"/>
                  <c:y val="-0.137565587372562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23A-447C-A55D-1DF45FA390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Result!$P$19:$P$21</c:f>
                <c:numCache>
                  <c:formatCode>General</c:formatCode>
                  <c:ptCount val="3"/>
                  <c:pt idx="0">
                    <c:v>19.171843725545411</c:v>
                  </c:pt>
                  <c:pt idx="1">
                    <c:v>7.0283391366956787</c:v>
                  </c:pt>
                  <c:pt idx="2">
                    <c:v>18.279920957271166</c:v>
                  </c:pt>
                </c:numCache>
              </c:numRef>
            </c:plus>
            <c:minus>
              <c:numRef>
                <c:f>Result!$P$19:$P$21</c:f>
                <c:numCache>
                  <c:formatCode>General</c:formatCode>
                  <c:ptCount val="3"/>
                  <c:pt idx="0">
                    <c:v>19.171843725545411</c:v>
                  </c:pt>
                  <c:pt idx="1">
                    <c:v>7.0283391366956787</c:v>
                  </c:pt>
                  <c:pt idx="2">
                    <c:v>18.279920957271166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Result!$J$19:$J$21</c:f>
              <c:strCache>
                <c:ptCount val="3"/>
                <c:pt idx="0">
                  <c:v>Advanced</c:v>
                </c:pt>
                <c:pt idx="1">
                  <c:v>Foundation</c:v>
                </c:pt>
                <c:pt idx="2">
                  <c:v>Intermediate</c:v>
                </c:pt>
              </c:strCache>
            </c:strRef>
          </c:cat>
          <c:val>
            <c:numRef>
              <c:f>Result!$M$19:$M$21</c:f>
              <c:numCache>
                <c:formatCode>General</c:formatCode>
                <c:ptCount val="3"/>
                <c:pt idx="0">
                  <c:v>67.459999999999994</c:v>
                </c:pt>
                <c:pt idx="1">
                  <c:v>22.52</c:v>
                </c:pt>
                <c:pt idx="2">
                  <c:v>42.74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3A-447C-A55D-1DF45FA390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83458064"/>
        <c:axId val="1483457584"/>
      </c:barChart>
      <c:catAx>
        <c:axId val="1483458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 Course</a:t>
                </a:r>
                <a:r>
                  <a:rPr lang="en-ID" baseline="0"/>
                  <a:t> Level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457584"/>
        <c:crosses val="autoZero"/>
        <c:auto val="1"/>
        <c:lblAlgn val="ctr"/>
        <c:lblOffset val="100"/>
        <c:noMultiLvlLbl val="0"/>
      </c:catAx>
      <c:valAx>
        <c:axId val="148345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Mean Aptitude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45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Performance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Performance</a:t>
          </a:r>
        </a:p>
      </cx:txPr>
    </cx:title>
    <cx:plotArea>
      <cx:plotAreaRegion>
        <cx:series layoutId="clusteredColumn" uniqueId="{4CED7ADC-8540-41B3-B598-6F932E1B1D46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Aptitude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Aptitude</a:t>
          </a:r>
        </a:p>
      </cx:txPr>
    </cx:title>
    <cx:plotArea>
      <cx:plotAreaRegion>
        <cx:series layoutId="clusteredColumn" uniqueId="{F26C9D26-4080-4D37-BC62-F58CE6175626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30</xdr:row>
      <xdr:rowOff>0</xdr:rowOff>
    </xdr:from>
    <xdr:to>
      <xdr:col>9</xdr:col>
      <xdr:colOff>998220</xdr:colOff>
      <xdr:row>40</xdr:row>
      <xdr:rowOff>68580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138AF3F-7155-45C6-8669-F72C17B640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96940" y="5501640"/>
              <a:ext cx="3604260" cy="18973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211852</xdr:colOff>
      <xdr:row>30</xdr:row>
      <xdr:rowOff>0</xdr:rowOff>
    </xdr:from>
    <xdr:to>
      <xdr:col>13</xdr:col>
      <xdr:colOff>760492</xdr:colOff>
      <xdr:row>40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D728F2A4-925C-40F7-88F1-273D4FF812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74012" y="5501640"/>
              <a:ext cx="4312920" cy="19202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68</xdr:row>
      <xdr:rowOff>0</xdr:rowOff>
    </xdr:from>
    <xdr:to>
      <xdr:col>7</xdr:col>
      <xdr:colOff>746760</xdr:colOff>
      <xdr:row>83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BC9854-F754-443C-BD83-92DFEC2C5D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68</xdr:row>
      <xdr:rowOff>0</xdr:rowOff>
    </xdr:from>
    <xdr:to>
      <xdr:col>15</xdr:col>
      <xdr:colOff>83820</xdr:colOff>
      <xdr:row>82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5FC8C8-8B0C-4C4C-924C-9E4F3E828E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33</xdr:row>
      <xdr:rowOff>1</xdr:rowOff>
    </xdr:from>
    <xdr:to>
      <xdr:col>19</xdr:col>
      <xdr:colOff>289560</xdr:colOff>
      <xdr:row>46</xdr:row>
      <xdr:rowOff>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651C3C-0BA6-4FD8-99E3-E993556818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51</xdr:row>
      <xdr:rowOff>60960</xdr:rowOff>
    </xdr:from>
    <xdr:to>
      <xdr:col>19</xdr:col>
      <xdr:colOff>487680</xdr:colOff>
      <xdr:row>64</xdr:row>
      <xdr:rowOff>178788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CA994A1-E871-42A3-A8AB-D44CE3FC00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38.337774768515" createdVersion="8" refreshedVersion="8" minRefreshableVersion="3" recordCount="150" xr:uid="{2D3C79C1-C2A4-4808-A06C-12DF56580B51}">
  <cacheSource type="worksheet">
    <worksheetSource name="student_combined_data"/>
  </cacheSource>
  <cacheFields count="4">
    <cacheField name="student_id" numFmtId="0">
      <sharedItems containsSemiMixedTypes="0" containsString="0" containsNumber="1" containsInteger="1" minValue="1" maxValue="150"/>
    </cacheField>
    <cacheField name="course_level" numFmtId="0">
      <sharedItems count="3">
        <s v="Advanced"/>
        <s v="Intermediate"/>
        <s v="Foundation"/>
      </sharedItems>
    </cacheField>
    <cacheField name="performance_score" numFmtId="0">
      <sharedItems containsSemiMixedTypes="0" containsString="0" containsNumber="1" containsInteger="1" minValue="155" maxValue="380" count="45">
        <n v="370"/>
        <n v="365"/>
        <n v="355"/>
        <n v="345"/>
        <n v="375"/>
        <n v="360"/>
        <n v="340"/>
        <n v="310"/>
        <n v="380"/>
        <n v="265"/>
        <n v="315"/>
        <n v="305"/>
        <n v="280"/>
        <n v="335"/>
        <n v="295"/>
        <n v="300"/>
        <n v="285"/>
        <n v="320"/>
        <n v="275"/>
        <n v="250"/>
        <n v="255"/>
        <n v="235"/>
        <n v="350"/>
        <n v="260"/>
        <n v="205"/>
        <n v="290"/>
        <n v="330"/>
        <n v="230"/>
        <n v="270"/>
        <n v="190"/>
        <n v="220"/>
        <n v="215"/>
        <n v="245"/>
        <n v="225"/>
        <n v="240"/>
        <n v="200"/>
        <n v="180"/>
        <n v="175"/>
        <n v="185"/>
        <n v="170"/>
        <n v="165"/>
        <n v="195"/>
        <n v="160"/>
        <n v="210"/>
        <n v="155"/>
      </sharedItems>
    </cacheField>
    <cacheField name="aptitude_score" numFmtId="0">
      <sharedItems containsSemiMixedTypes="0" containsString="0" containsNumber="1" containsInteger="1" minValue="9" maxValue="97" count="70">
        <n v="72"/>
        <n v="90"/>
        <n v="68"/>
        <n v="84"/>
        <n v="83"/>
        <n v="81"/>
        <n v="79"/>
        <n v="89"/>
        <n v="94"/>
        <n v="52"/>
        <n v="88"/>
        <n v="87"/>
        <n v="86"/>
        <n v="66"/>
        <n v="91"/>
        <n v="71"/>
        <n v="97"/>
        <n v="56"/>
        <n v="30"/>
        <n v="55"/>
        <n v="36"/>
        <n v="45"/>
        <n v="33"/>
        <n v="64"/>
        <n v="65"/>
        <n v="61"/>
        <n v="75"/>
        <n v="50"/>
        <n v="92"/>
        <n v="40"/>
        <n v="37"/>
        <n v="47"/>
        <n v="69"/>
        <n v="48"/>
        <n v="74"/>
        <n v="67"/>
        <n v="49"/>
        <n v="46"/>
        <n v="51"/>
        <n v="31"/>
        <n v="38"/>
        <n v="57"/>
        <n v="59"/>
        <n v="32"/>
        <n v="54"/>
        <n v="43"/>
        <n v="62"/>
        <n v="18"/>
        <n v="42"/>
        <n v="21"/>
        <n v="23"/>
        <n v="25"/>
        <n v="19"/>
        <n v="44"/>
        <n v="22"/>
        <n v="24"/>
        <n v="29"/>
        <n v="41"/>
        <n v="14"/>
        <n v="35"/>
        <n v="20"/>
        <n v="17"/>
        <n v="13"/>
        <n v="12"/>
        <n v="26"/>
        <n v="16"/>
        <n v="28"/>
        <n v="27"/>
        <n v="9"/>
        <n v="1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n v="1"/>
    <x v="0"/>
    <x v="0"/>
    <x v="0"/>
  </r>
  <r>
    <n v="2"/>
    <x v="0"/>
    <x v="1"/>
    <x v="1"/>
  </r>
  <r>
    <n v="3"/>
    <x v="0"/>
    <x v="2"/>
    <x v="2"/>
  </r>
  <r>
    <n v="4"/>
    <x v="0"/>
    <x v="3"/>
    <x v="3"/>
  </r>
  <r>
    <n v="5"/>
    <x v="0"/>
    <x v="2"/>
    <x v="0"/>
  </r>
  <r>
    <n v="6"/>
    <x v="0"/>
    <x v="2"/>
    <x v="4"/>
  </r>
  <r>
    <n v="7"/>
    <x v="0"/>
    <x v="4"/>
    <x v="4"/>
  </r>
  <r>
    <n v="8"/>
    <x v="0"/>
    <x v="5"/>
    <x v="5"/>
  </r>
  <r>
    <n v="9"/>
    <x v="0"/>
    <x v="3"/>
    <x v="6"/>
  </r>
  <r>
    <n v="10"/>
    <x v="0"/>
    <x v="2"/>
    <x v="7"/>
  </r>
  <r>
    <n v="11"/>
    <x v="0"/>
    <x v="6"/>
    <x v="8"/>
  </r>
  <r>
    <n v="12"/>
    <x v="0"/>
    <x v="7"/>
    <x v="9"/>
  </r>
  <r>
    <n v="13"/>
    <x v="0"/>
    <x v="4"/>
    <x v="5"/>
  </r>
  <r>
    <n v="14"/>
    <x v="0"/>
    <x v="5"/>
    <x v="2"/>
  </r>
  <r>
    <n v="15"/>
    <x v="0"/>
    <x v="8"/>
    <x v="10"/>
  </r>
  <r>
    <n v="16"/>
    <x v="0"/>
    <x v="2"/>
    <x v="11"/>
  </r>
  <r>
    <n v="17"/>
    <x v="0"/>
    <x v="2"/>
    <x v="12"/>
  </r>
  <r>
    <n v="18"/>
    <x v="0"/>
    <x v="7"/>
    <x v="13"/>
  </r>
  <r>
    <n v="19"/>
    <x v="0"/>
    <x v="2"/>
    <x v="14"/>
  </r>
  <r>
    <n v="20"/>
    <x v="0"/>
    <x v="5"/>
    <x v="8"/>
  </r>
  <r>
    <n v="21"/>
    <x v="0"/>
    <x v="2"/>
    <x v="15"/>
  </r>
  <r>
    <n v="22"/>
    <x v="0"/>
    <x v="5"/>
    <x v="16"/>
  </r>
  <r>
    <n v="23"/>
    <x v="0"/>
    <x v="3"/>
    <x v="17"/>
  </r>
  <r>
    <n v="24"/>
    <x v="0"/>
    <x v="1"/>
    <x v="8"/>
  </r>
  <r>
    <n v="25"/>
    <x v="0"/>
    <x v="3"/>
    <x v="6"/>
  </r>
  <r>
    <n v="26"/>
    <x v="0"/>
    <x v="9"/>
    <x v="18"/>
  </r>
  <r>
    <n v="27"/>
    <x v="0"/>
    <x v="10"/>
    <x v="19"/>
  </r>
  <r>
    <n v="28"/>
    <x v="0"/>
    <x v="11"/>
    <x v="20"/>
  </r>
  <r>
    <n v="29"/>
    <x v="0"/>
    <x v="11"/>
    <x v="21"/>
  </r>
  <r>
    <n v="30"/>
    <x v="0"/>
    <x v="12"/>
    <x v="22"/>
  </r>
  <r>
    <n v="31"/>
    <x v="0"/>
    <x v="13"/>
    <x v="5"/>
  </r>
  <r>
    <n v="32"/>
    <x v="0"/>
    <x v="14"/>
    <x v="23"/>
  </r>
  <r>
    <n v="33"/>
    <x v="0"/>
    <x v="15"/>
    <x v="24"/>
  </r>
  <r>
    <n v="34"/>
    <x v="0"/>
    <x v="11"/>
    <x v="21"/>
  </r>
  <r>
    <n v="35"/>
    <x v="0"/>
    <x v="16"/>
    <x v="25"/>
  </r>
  <r>
    <n v="36"/>
    <x v="0"/>
    <x v="9"/>
    <x v="26"/>
  </r>
  <r>
    <n v="37"/>
    <x v="0"/>
    <x v="17"/>
    <x v="27"/>
  </r>
  <r>
    <n v="38"/>
    <x v="0"/>
    <x v="15"/>
    <x v="0"/>
  </r>
  <r>
    <n v="39"/>
    <x v="0"/>
    <x v="5"/>
    <x v="28"/>
  </r>
  <r>
    <n v="40"/>
    <x v="0"/>
    <x v="18"/>
    <x v="29"/>
  </r>
  <r>
    <n v="41"/>
    <x v="0"/>
    <x v="19"/>
    <x v="20"/>
  </r>
  <r>
    <n v="42"/>
    <x v="0"/>
    <x v="9"/>
    <x v="27"/>
  </r>
  <r>
    <n v="43"/>
    <x v="0"/>
    <x v="18"/>
    <x v="30"/>
  </r>
  <r>
    <n v="44"/>
    <x v="0"/>
    <x v="14"/>
    <x v="31"/>
  </r>
  <r>
    <n v="45"/>
    <x v="0"/>
    <x v="18"/>
    <x v="24"/>
  </r>
  <r>
    <n v="46"/>
    <x v="0"/>
    <x v="14"/>
    <x v="31"/>
  </r>
  <r>
    <n v="47"/>
    <x v="0"/>
    <x v="1"/>
    <x v="26"/>
  </r>
  <r>
    <n v="48"/>
    <x v="0"/>
    <x v="20"/>
    <x v="27"/>
  </r>
  <r>
    <n v="49"/>
    <x v="0"/>
    <x v="12"/>
    <x v="32"/>
  </r>
  <r>
    <n v="50"/>
    <x v="0"/>
    <x v="12"/>
    <x v="33"/>
  </r>
  <r>
    <n v="51"/>
    <x v="1"/>
    <x v="20"/>
    <x v="34"/>
  </r>
  <r>
    <n v="52"/>
    <x v="1"/>
    <x v="21"/>
    <x v="20"/>
  </r>
  <r>
    <n v="53"/>
    <x v="1"/>
    <x v="9"/>
    <x v="27"/>
  </r>
  <r>
    <n v="54"/>
    <x v="1"/>
    <x v="22"/>
    <x v="35"/>
  </r>
  <r>
    <n v="55"/>
    <x v="1"/>
    <x v="23"/>
    <x v="24"/>
  </r>
  <r>
    <n v="56"/>
    <x v="1"/>
    <x v="19"/>
    <x v="24"/>
  </r>
  <r>
    <n v="57"/>
    <x v="1"/>
    <x v="12"/>
    <x v="36"/>
  </r>
  <r>
    <n v="58"/>
    <x v="1"/>
    <x v="9"/>
    <x v="37"/>
  </r>
  <r>
    <n v="59"/>
    <x v="1"/>
    <x v="9"/>
    <x v="9"/>
  </r>
  <r>
    <n v="60"/>
    <x v="1"/>
    <x v="12"/>
    <x v="38"/>
  </r>
  <r>
    <n v="61"/>
    <x v="1"/>
    <x v="24"/>
    <x v="39"/>
  </r>
  <r>
    <n v="62"/>
    <x v="1"/>
    <x v="25"/>
    <x v="40"/>
  </r>
  <r>
    <n v="63"/>
    <x v="1"/>
    <x v="12"/>
    <x v="41"/>
  </r>
  <r>
    <n v="64"/>
    <x v="1"/>
    <x v="18"/>
    <x v="9"/>
  </r>
  <r>
    <n v="65"/>
    <x v="1"/>
    <x v="12"/>
    <x v="42"/>
  </r>
  <r>
    <n v="66"/>
    <x v="1"/>
    <x v="24"/>
    <x v="43"/>
  </r>
  <r>
    <n v="67"/>
    <x v="1"/>
    <x v="25"/>
    <x v="40"/>
  </r>
  <r>
    <n v="68"/>
    <x v="1"/>
    <x v="10"/>
    <x v="32"/>
  </r>
  <r>
    <n v="69"/>
    <x v="1"/>
    <x v="7"/>
    <x v="44"/>
  </r>
  <r>
    <n v="70"/>
    <x v="1"/>
    <x v="26"/>
    <x v="10"/>
  </r>
  <r>
    <n v="71"/>
    <x v="1"/>
    <x v="27"/>
    <x v="29"/>
  </r>
  <r>
    <n v="72"/>
    <x v="1"/>
    <x v="9"/>
    <x v="24"/>
  </r>
  <r>
    <n v="73"/>
    <x v="1"/>
    <x v="2"/>
    <x v="1"/>
  </r>
  <r>
    <n v="74"/>
    <x v="1"/>
    <x v="28"/>
    <x v="45"/>
  </r>
  <r>
    <n v="75"/>
    <x v="1"/>
    <x v="9"/>
    <x v="46"/>
  </r>
  <r>
    <n v="76"/>
    <x v="1"/>
    <x v="24"/>
    <x v="47"/>
  </r>
  <r>
    <n v="77"/>
    <x v="1"/>
    <x v="29"/>
    <x v="48"/>
  </r>
  <r>
    <n v="78"/>
    <x v="1"/>
    <x v="30"/>
    <x v="22"/>
  </r>
  <r>
    <n v="79"/>
    <x v="1"/>
    <x v="27"/>
    <x v="49"/>
  </r>
  <r>
    <n v="80"/>
    <x v="1"/>
    <x v="21"/>
    <x v="47"/>
  </r>
  <r>
    <n v="81"/>
    <x v="1"/>
    <x v="23"/>
    <x v="50"/>
  </r>
  <r>
    <n v="82"/>
    <x v="1"/>
    <x v="31"/>
    <x v="51"/>
  </r>
  <r>
    <n v="83"/>
    <x v="1"/>
    <x v="31"/>
    <x v="52"/>
  </r>
  <r>
    <n v="84"/>
    <x v="1"/>
    <x v="24"/>
    <x v="53"/>
  </r>
  <r>
    <n v="85"/>
    <x v="1"/>
    <x v="31"/>
    <x v="48"/>
  </r>
  <r>
    <n v="86"/>
    <x v="1"/>
    <x v="21"/>
    <x v="22"/>
  </r>
  <r>
    <n v="87"/>
    <x v="1"/>
    <x v="32"/>
    <x v="54"/>
  </r>
  <r>
    <n v="88"/>
    <x v="1"/>
    <x v="33"/>
    <x v="55"/>
  </r>
  <r>
    <n v="89"/>
    <x v="1"/>
    <x v="34"/>
    <x v="21"/>
  </r>
  <r>
    <n v="90"/>
    <x v="1"/>
    <x v="12"/>
    <x v="56"/>
  </r>
  <r>
    <n v="91"/>
    <x v="1"/>
    <x v="14"/>
    <x v="57"/>
  </r>
  <r>
    <n v="92"/>
    <x v="1"/>
    <x v="29"/>
    <x v="58"/>
  </r>
  <r>
    <n v="93"/>
    <x v="1"/>
    <x v="33"/>
    <x v="30"/>
  </r>
  <r>
    <n v="94"/>
    <x v="1"/>
    <x v="30"/>
    <x v="59"/>
  </r>
  <r>
    <n v="95"/>
    <x v="1"/>
    <x v="33"/>
    <x v="60"/>
  </r>
  <r>
    <n v="96"/>
    <x v="1"/>
    <x v="34"/>
    <x v="39"/>
  </r>
  <r>
    <n v="97"/>
    <x v="1"/>
    <x v="20"/>
    <x v="41"/>
  </r>
  <r>
    <n v="98"/>
    <x v="1"/>
    <x v="27"/>
    <x v="61"/>
  </r>
  <r>
    <n v="99"/>
    <x v="1"/>
    <x v="35"/>
    <x v="43"/>
  </r>
  <r>
    <n v="100"/>
    <x v="1"/>
    <x v="33"/>
    <x v="48"/>
  </r>
  <r>
    <n v="101"/>
    <x v="2"/>
    <x v="36"/>
    <x v="60"/>
  </r>
  <r>
    <n v="102"/>
    <x v="2"/>
    <x v="29"/>
    <x v="62"/>
  </r>
  <r>
    <n v="103"/>
    <x v="2"/>
    <x v="35"/>
    <x v="63"/>
  </r>
  <r>
    <n v="104"/>
    <x v="2"/>
    <x v="32"/>
    <x v="49"/>
  </r>
  <r>
    <n v="105"/>
    <x v="2"/>
    <x v="36"/>
    <x v="51"/>
  </r>
  <r>
    <n v="106"/>
    <x v="2"/>
    <x v="37"/>
    <x v="61"/>
  </r>
  <r>
    <n v="107"/>
    <x v="2"/>
    <x v="24"/>
    <x v="58"/>
  </r>
  <r>
    <n v="108"/>
    <x v="2"/>
    <x v="38"/>
    <x v="49"/>
  </r>
  <r>
    <n v="109"/>
    <x v="2"/>
    <x v="31"/>
    <x v="29"/>
  </r>
  <r>
    <n v="110"/>
    <x v="2"/>
    <x v="39"/>
    <x v="49"/>
  </r>
  <r>
    <n v="111"/>
    <x v="2"/>
    <x v="36"/>
    <x v="64"/>
  </r>
  <r>
    <n v="112"/>
    <x v="2"/>
    <x v="37"/>
    <x v="65"/>
  </r>
  <r>
    <n v="113"/>
    <x v="2"/>
    <x v="40"/>
    <x v="54"/>
  </r>
  <r>
    <n v="114"/>
    <x v="2"/>
    <x v="24"/>
    <x v="66"/>
  </r>
  <r>
    <n v="115"/>
    <x v="2"/>
    <x v="39"/>
    <x v="52"/>
  </r>
  <r>
    <n v="116"/>
    <x v="2"/>
    <x v="41"/>
    <x v="67"/>
  </r>
  <r>
    <n v="117"/>
    <x v="2"/>
    <x v="41"/>
    <x v="59"/>
  </r>
  <r>
    <n v="118"/>
    <x v="2"/>
    <x v="29"/>
    <x v="60"/>
  </r>
  <r>
    <n v="119"/>
    <x v="2"/>
    <x v="35"/>
    <x v="49"/>
  </r>
  <r>
    <n v="120"/>
    <x v="2"/>
    <x v="29"/>
    <x v="52"/>
  </r>
  <r>
    <n v="121"/>
    <x v="2"/>
    <x v="42"/>
    <x v="65"/>
  </r>
  <r>
    <n v="122"/>
    <x v="2"/>
    <x v="29"/>
    <x v="58"/>
  </r>
  <r>
    <n v="123"/>
    <x v="2"/>
    <x v="37"/>
    <x v="52"/>
  </r>
  <r>
    <n v="124"/>
    <x v="2"/>
    <x v="38"/>
    <x v="68"/>
  </r>
  <r>
    <n v="125"/>
    <x v="2"/>
    <x v="36"/>
    <x v="64"/>
  </r>
  <r>
    <n v="126"/>
    <x v="2"/>
    <x v="37"/>
    <x v="52"/>
  </r>
  <r>
    <n v="127"/>
    <x v="2"/>
    <x v="43"/>
    <x v="22"/>
  </r>
  <r>
    <n v="128"/>
    <x v="2"/>
    <x v="29"/>
    <x v="51"/>
  </r>
  <r>
    <n v="129"/>
    <x v="2"/>
    <x v="37"/>
    <x v="51"/>
  </r>
  <r>
    <n v="130"/>
    <x v="2"/>
    <x v="29"/>
    <x v="49"/>
  </r>
  <r>
    <n v="131"/>
    <x v="2"/>
    <x v="39"/>
    <x v="51"/>
  </r>
  <r>
    <n v="132"/>
    <x v="2"/>
    <x v="37"/>
    <x v="49"/>
  </r>
  <r>
    <n v="133"/>
    <x v="2"/>
    <x v="39"/>
    <x v="49"/>
  </r>
  <r>
    <n v="134"/>
    <x v="2"/>
    <x v="37"/>
    <x v="22"/>
  </r>
  <r>
    <n v="135"/>
    <x v="2"/>
    <x v="36"/>
    <x v="54"/>
  </r>
  <r>
    <n v="136"/>
    <x v="2"/>
    <x v="30"/>
    <x v="56"/>
  </r>
  <r>
    <n v="137"/>
    <x v="2"/>
    <x v="42"/>
    <x v="61"/>
  </r>
  <r>
    <n v="138"/>
    <x v="2"/>
    <x v="37"/>
    <x v="61"/>
  </r>
  <r>
    <n v="139"/>
    <x v="2"/>
    <x v="38"/>
    <x v="56"/>
  </r>
  <r>
    <n v="140"/>
    <x v="2"/>
    <x v="30"/>
    <x v="22"/>
  </r>
  <r>
    <n v="141"/>
    <x v="2"/>
    <x v="41"/>
    <x v="18"/>
  </r>
  <r>
    <n v="142"/>
    <x v="2"/>
    <x v="36"/>
    <x v="47"/>
  </r>
  <r>
    <n v="143"/>
    <x v="2"/>
    <x v="43"/>
    <x v="64"/>
  </r>
  <r>
    <n v="144"/>
    <x v="2"/>
    <x v="24"/>
    <x v="57"/>
  </r>
  <r>
    <n v="145"/>
    <x v="2"/>
    <x v="44"/>
    <x v="43"/>
  </r>
  <r>
    <n v="146"/>
    <x v="2"/>
    <x v="36"/>
    <x v="65"/>
  </r>
  <r>
    <n v="147"/>
    <x v="2"/>
    <x v="37"/>
    <x v="60"/>
  </r>
  <r>
    <n v="148"/>
    <x v="2"/>
    <x v="40"/>
    <x v="60"/>
  </r>
  <r>
    <n v="149"/>
    <x v="2"/>
    <x v="41"/>
    <x v="61"/>
  </r>
  <r>
    <n v="150"/>
    <x v="2"/>
    <x v="41"/>
    <x v="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114763-DED2-466E-B670-E0E0C3605620}" name="PivotTable5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Course Level">
  <location ref="J18:P21" firstHeaderRow="0" firstDataRow="1" firstDataCol="1"/>
  <pivotFields count="4">
    <pivotField showAll="0"/>
    <pivotField axis="axisRow" showAll="0">
      <items count="4">
        <item x="0"/>
        <item x="2"/>
        <item x="1"/>
        <item t="default"/>
      </items>
    </pivotField>
    <pivotField showAll="0">
      <items count="46">
        <item x="44"/>
        <item x="42"/>
        <item x="40"/>
        <item x="39"/>
        <item x="37"/>
        <item x="36"/>
        <item x="38"/>
        <item x="29"/>
        <item x="41"/>
        <item x="35"/>
        <item x="24"/>
        <item x="43"/>
        <item x="31"/>
        <item x="30"/>
        <item x="33"/>
        <item x="27"/>
        <item x="21"/>
        <item x="34"/>
        <item x="32"/>
        <item x="19"/>
        <item x="20"/>
        <item x="23"/>
        <item x="9"/>
        <item x="28"/>
        <item x="18"/>
        <item x="12"/>
        <item x="16"/>
        <item x="25"/>
        <item x="14"/>
        <item x="15"/>
        <item x="11"/>
        <item x="7"/>
        <item x="10"/>
        <item x="17"/>
        <item x="26"/>
        <item x="13"/>
        <item x="6"/>
        <item x="3"/>
        <item x="22"/>
        <item x="2"/>
        <item x="5"/>
        <item x="1"/>
        <item x="0"/>
        <item x="4"/>
        <item x="8"/>
        <item t="default"/>
      </items>
    </pivotField>
    <pivotField dataField="1" showAll="0">
      <items count="71">
        <item x="68"/>
        <item x="63"/>
        <item x="62"/>
        <item x="58"/>
        <item x="69"/>
        <item x="65"/>
        <item x="61"/>
        <item x="47"/>
        <item x="52"/>
        <item x="60"/>
        <item x="49"/>
        <item x="54"/>
        <item x="50"/>
        <item x="55"/>
        <item x="51"/>
        <item x="64"/>
        <item x="67"/>
        <item x="66"/>
        <item x="56"/>
        <item x="18"/>
        <item x="39"/>
        <item x="43"/>
        <item x="22"/>
        <item x="59"/>
        <item x="20"/>
        <item x="30"/>
        <item x="40"/>
        <item x="29"/>
        <item x="57"/>
        <item x="48"/>
        <item x="45"/>
        <item x="53"/>
        <item x="21"/>
        <item x="37"/>
        <item x="31"/>
        <item x="33"/>
        <item x="36"/>
        <item x="27"/>
        <item x="38"/>
        <item x="9"/>
        <item x="44"/>
        <item x="19"/>
        <item x="17"/>
        <item x="41"/>
        <item x="42"/>
        <item x="25"/>
        <item x="46"/>
        <item x="23"/>
        <item x="24"/>
        <item x="13"/>
        <item x="35"/>
        <item x="2"/>
        <item x="32"/>
        <item x="15"/>
        <item x="0"/>
        <item x="34"/>
        <item x="26"/>
        <item x="6"/>
        <item x="5"/>
        <item x="4"/>
        <item x="3"/>
        <item x="12"/>
        <item x="11"/>
        <item x="10"/>
        <item x="7"/>
        <item x="1"/>
        <item x="14"/>
        <item x="28"/>
        <item x="8"/>
        <item x="16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Total" fld="3" baseField="0" baseItem="0"/>
    <dataField name="Jumlah" fld="3" subtotal="count" baseField="1" baseItem="0"/>
    <dataField name="Rata rata" fld="3" subtotal="average" baseField="1" baseItem="0"/>
    <dataField name="Max" fld="3" subtotal="max" baseField="1" baseItem="0"/>
    <dataField name="Min" fld="3" subtotal="min" baseField="1" baseItem="0"/>
    <dataField name="Standar Deviasi" fld="3" subtotal="stdDev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CA7ECC-6B8C-4FC2-A483-BD4EE6E0D44B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5" rowHeaderCaption="Course Level">
  <location ref="J12:P15" firstHeaderRow="0" firstDataRow="1" firstDataCol="1"/>
  <pivotFields count="4">
    <pivotField showAll="0"/>
    <pivotField axis="axisRow" showAll="0" sortType="ascending">
      <items count="4">
        <item x="0"/>
        <item x="2"/>
        <item x="1"/>
        <item t="default"/>
      </items>
    </pivotField>
    <pivotField dataField="1" showAll="0">
      <items count="46">
        <item x="44"/>
        <item x="42"/>
        <item x="40"/>
        <item x="39"/>
        <item x="37"/>
        <item x="36"/>
        <item x="38"/>
        <item x="29"/>
        <item x="41"/>
        <item x="35"/>
        <item x="24"/>
        <item x="43"/>
        <item x="31"/>
        <item x="30"/>
        <item x="33"/>
        <item x="27"/>
        <item x="21"/>
        <item x="34"/>
        <item x="32"/>
        <item x="19"/>
        <item x="20"/>
        <item x="23"/>
        <item x="9"/>
        <item x="28"/>
        <item x="18"/>
        <item x="12"/>
        <item x="16"/>
        <item x="25"/>
        <item x="14"/>
        <item x="15"/>
        <item x="11"/>
        <item x="7"/>
        <item x="10"/>
        <item x="17"/>
        <item x="26"/>
        <item x="13"/>
        <item x="6"/>
        <item x="3"/>
        <item x="22"/>
        <item x="2"/>
        <item x="5"/>
        <item x="1"/>
        <item x="0"/>
        <item x="4"/>
        <item x="8"/>
        <item t="default"/>
      </items>
    </pivotField>
    <pivotField showAll="0"/>
  </pivotFields>
  <rowFields count="1">
    <field x="1"/>
  </rowFields>
  <rowItems count="3">
    <i>
      <x/>
    </i>
    <i>
      <x v="1"/>
    </i>
    <i>
      <x v="2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Total" fld="2" baseField="1" baseItem="0"/>
    <dataField name="Jumlah " fld="2" subtotal="count" baseField="1" baseItem="0"/>
    <dataField name="Rata Rata" fld="2" subtotal="average" baseField="1" baseItem="0"/>
    <dataField name="Max" fld="2" subtotal="max" baseField="1" baseItem="0"/>
    <dataField name="Min " fld="2" subtotal="min" baseField="1" baseItem="0"/>
    <dataField name="Standar Deviasi" fld="2" subtotal="stdDev" baseField="1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C2FB19E-E4E3-48B9-BF31-AADC99491023}" autoFormatId="16" applyNumberFormats="0" applyBorderFormats="0" applyFontFormats="0" applyPatternFormats="0" applyAlignmentFormats="0" applyWidthHeightFormats="0">
  <queryTableRefresh nextId="5">
    <queryTableFields count="4">
      <queryTableField id="1" name="student_id" tableColumnId="1"/>
      <queryTableField id="2" name="course_level" tableColumnId="2"/>
      <queryTableField id="3" name="performance_score" tableColumnId="3"/>
      <queryTableField id="4" name="aptitude_scor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0FFF8A-4660-485A-9049-1A2AD1F21913}" name="student_combined_data" displayName="student_combined_data" ref="A1:D151" tableType="queryTable" totalsRowShown="0">
  <autoFilter ref="A1:D151" xr:uid="{DA0FFF8A-4660-485A-9049-1A2AD1F21913}"/>
  <tableColumns count="4">
    <tableColumn id="1" xr3:uid="{05AF3EAE-9E7C-476F-9CF6-BE058B96580B}" uniqueName="1" name="student_id" queryTableFieldId="1"/>
    <tableColumn id="2" xr3:uid="{5BC856B9-E9C6-44D7-A963-6A03ADBF9A68}" uniqueName="2" name="course_level" queryTableFieldId="2" dataDxfId="0"/>
    <tableColumn id="3" xr3:uid="{56B1A56A-4527-412C-8FC7-BFBF8E60AE9F}" uniqueName="3" name="performance_score" queryTableFieldId="3"/>
    <tableColumn id="4" xr3:uid="{95F257B4-E6FF-4475-9B4B-12FD5B401F21}" uniqueName="4" name="aptitude_scor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0CAB6-3538-41F8-AEF3-E0546176706A}">
  <dimension ref="A1:X151"/>
  <sheetViews>
    <sheetView topLeftCell="I1" zoomScale="86" workbookViewId="0">
      <selection activeCell="W1" activeCellId="1" sqref="V2:X151 W1:X1"/>
    </sheetView>
  </sheetViews>
  <sheetFormatPr defaultRowHeight="14.4" x14ac:dyDescent="0.3"/>
  <cols>
    <col min="1" max="1" width="12" bestFit="1" customWidth="1"/>
    <col min="2" max="2" width="13.5546875" bestFit="1" customWidth="1"/>
    <col min="3" max="3" width="19.44140625" bestFit="1" customWidth="1"/>
    <col min="4" max="4" width="15.77734375" bestFit="1" customWidth="1"/>
    <col min="8" max="8" width="21.109375" bestFit="1" customWidth="1"/>
    <col min="9" max="9" width="16.88671875" bestFit="1" customWidth="1"/>
    <col min="10" max="10" width="15.44140625" bestFit="1" customWidth="1"/>
    <col min="11" max="12" width="21.109375" bestFit="1" customWidth="1"/>
    <col min="13" max="13" width="12.6640625" bestFit="1" customWidth="1"/>
    <col min="14" max="14" width="15" bestFit="1" customWidth="1"/>
    <col min="15" max="15" width="9.21875" bestFit="1" customWidth="1"/>
    <col min="16" max="16" width="11.5546875" bestFit="1" customWidth="1"/>
    <col min="17" max="17" width="10.77734375" bestFit="1" customWidth="1"/>
    <col min="18" max="18" width="4.5546875" bestFit="1" customWidth="1"/>
    <col min="19" max="19" width="11.33203125" bestFit="1" customWidth="1"/>
    <col min="20" max="20" width="14.5546875" bestFit="1" customWidth="1"/>
    <col min="21" max="21" width="11.21875" bestFit="1" customWidth="1"/>
    <col min="22" max="22" width="10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N1" t="s">
        <v>4</v>
      </c>
      <c r="O1" t="s">
        <v>5</v>
      </c>
      <c r="P1" t="s">
        <v>6</v>
      </c>
      <c r="R1" t="s">
        <v>4</v>
      </c>
      <c r="S1" t="s">
        <v>5</v>
      </c>
      <c r="T1" t="s">
        <v>6</v>
      </c>
      <c r="V1" s="14" t="s">
        <v>1</v>
      </c>
      <c r="W1" s="14" t="s">
        <v>2</v>
      </c>
      <c r="X1" s="9" t="s">
        <v>3</v>
      </c>
    </row>
    <row r="2" spans="1:24" x14ac:dyDescent="0.3">
      <c r="A2">
        <v>1</v>
      </c>
      <c r="B2" s="21" t="s">
        <v>4</v>
      </c>
      <c r="C2">
        <v>370</v>
      </c>
      <c r="D2">
        <v>72</v>
      </c>
      <c r="N2" s="13">
        <v>370</v>
      </c>
      <c r="O2" s="13">
        <v>255</v>
      </c>
      <c r="P2" s="13">
        <v>180</v>
      </c>
      <c r="R2" s="10">
        <v>72</v>
      </c>
      <c r="S2" s="10">
        <v>74</v>
      </c>
      <c r="T2" s="10">
        <v>20</v>
      </c>
      <c r="V2" s="13" t="s">
        <v>4</v>
      </c>
      <c r="W2" s="13">
        <v>370</v>
      </c>
      <c r="X2" s="10">
        <v>72</v>
      </c>
    </row>
    <row r="3" spans="1:24" x14ac:dyDescent="0.3">
      <c r="A3">
        <v>2</v>
      </c>
      <c r="B3" s="21" t="s">
        <v>4</v>
      </c>
      <c r="C3">
        <v>365</v>
      </c>
      <c r="D3">
        <v>90</v>
      </c>
      <c r="N3" s="12">
        <v>365</v>
      </c>
      <c r="O3" s="12">
        <v>235</v>
      </c>
      <c r="P3" s="12">
        <v>190</v>
      </c>
      <c r="R3" s="11">
        <v>90</v>
      </c>
      <c r="S3" s="11">
        <v>36</v>
      </c>
      <c r="T3" s="11">
        <v>13</v>
      </c>
      <c r="V3" s="12" t="s">
        <v>4</v>
      </c>
      <c r="W3" s="12">
        <v>365</v>
      </c>
      <c r="X3" s="11">
        <v>90</v>
      </c>
    </row>
    <row r="4" spans="1:24" x14ac:dyDescent="0.3">
      <c r="A4">
        <v>3</v>
      </c>
      <c r="B4" s="21" t="s">
        <v>4</v>
      </c>
      <c r="C4">
        <v>355</v>
      </c>
      <c r="D4">
        <v>68</v>
      </c>
      <c r="N4" s="13">
        <v>355</v>
      </c>
      <c r="O4" s="13">
        <v>265</v>
      </c>
      <c r="P4" s="13">
        <v>200</v>
      </c>
      <c r="R4" s="10">
        <v>68</v>
      </c>
      <c r="S4" s="10">
        <v>50</v>
      </c>
      <c r="T4" s="10">
        <v>12</v>
      </c>
      <c r="V4" s="13" t="s">
        <v>4</v>
      </c>
      <c r="W4" s="13">
        <v>355</v>
      </c>
      <c r="X4" s="10">
        <v>68</v>
      </c>
    </row>
    <row r="5" spans="1:24" x14ac:dyDescent="0.3">
      <c r="A5">
        <v>4</v>
      </c>
      <c r="B5" s="21" t="s">
        <v>4</v>
      </c>
      <c r="C5">
        <v>345</v>
      </c>
      <c r="D5">
        <v>84</v>
      </c>
      <c r="N5" s="12">
        <v>345</v>
      </c>
      <c r="O5" s="12">
        <v>350</v>
      </c>
      <c r="P5" s="12">
        <v>245</v>
      </c>
      <c r="R5" s="11">
        <v>84</v>
      </c>
      <c r="S5" s="11">
        <v>67</v>
      </c>
      <c r="T5" s="11">
        <v>21</v>
      </c>
      <c r="V5" s="12" t="s">
        <v>4</v>
      </c>
      <c r="W5" s="12">
        <v>345</v>
      </c>
      <c r="X5" s="11">
        <v>84</v>
      </c>
    </row>
    <row r="6" spans="1:24" x14ac:dyDescent="0.3">
      <c r="A6">
        <v>5</v>
      </c>
      <c r="B6" s="21" t="s">
        <v>4</v>
      </c>
      <c r="C6">
        <v>355</v>
      </c>
      <c r="D6">
        <v>72</v>
      </c>
      <c r="N6" s="13">
        <v>355</v>
      </c>
      <c r="O6" s="13">
        <v>260</v>
      </c>
      <c r="P6" s="13">
        <v>180</v>
      </c>
      <c r="R6" s="10">
        <v>72</v>
      </c>
      <c r="S6" s="10">
        <v>65</v>
      </c>
      <c r="T6" s="10">
        <v>25</v>
      </c>
      <c r="V6" s="13" t="s">
        <v>4</v>
      </c>
      <c r="W6" s="13">
        <v>355</v>
      </c>
      <c r="X6" s="10">
        <v>72</v>
      </c>
    </row>
    <row r="7" spans="1:24" x14ac:dyDescent="0.3">
      <c r="A7">
        <v>6</v>
      </c>
      <c r="B7" s="21" t="s">
        <v>4</v>
      </c>
      <c r="C7">
        <v>355</v>
      </c>
      <c r="D7">
        <v>83</v>
      </c>
      <c r="N7" s="12">
        <v>355</v>
      </c>
      <c r="O7" s="12">
        <v>250</v>
      </c>
      <c r="P7" s="12">
        <v>175</v>
      </c>
      <c r="R7" s="11">
        <v>83</v>
      </c>
      <c r="S7" s="11">
        <v>65</v>
      </c>
      <c r="T7" s="11">
        <v>17</v>
      </c>
      <c r="V7" s="12" t="s">
        <v>4</v>
      </c>
      <c r="W7" s="12">
        <v>355</v>
      </c>
      <c r="X7" s="11">
        <v>83</v>
      </c>
    </row>
    <row r="8" spans="1:24" x14ac:dyDescent="0.3">
      <c r="A8">
        <v>7</v>
      </c>
      <c r="B8" s="21" t="s">
        <v>4</v>
      </c>
      <c r="C8">
        <v>375</v>
      </c>
      <c r="D8">
        <v>83</v>
      </c>
      <c r="N8" s="13">
        <v>375</v>
      </c>
      <c r="O8" s="13">
        <v>280</v>
      </c>
      <c r="P8" s="13">
        <v>205</v>
      </c>
      <c r="R8" s="10">
        <v>83</v>
      </c>
      <c r="S8" s="10">
        <v>49</v>
      </c>
      <c r="T8" s="10">
        <v>14</v>
      </c>
      <c r="V8" s="13" t="s">
        <v>4</v>
      </c>
      <c r="W8" s="13">
        <v>375</v>
      </c>
      <c r="X8" s="10">
        <v>83</v>
      </c>
    </row>
    <row r="9" spans="1:24" x14ac:dyDescent="0.3">
      <c r="A9">
        <v>8</v>
      </c>
      <c r="B9" s="21" t="s">
        <v>4</v>
      </c>
      <c r="C9">
        <v>360</v>
      </c>
      <c r="D9">
        <v>81</v>
      </c>
      <c r="N9" s="12">
        <v>360</v>
      </c>
      <c r="O9" s="12">
        <v>265</v>
      </c>
      <c r="P9" s="12">
        <v>185</v>
      </c>
      <c r="R9" s="11">
        <v>81</v>
      </c>
      <c r="S9" s="11">
        <v>46</v>
      </c>
      <c r="T9" s="11">
        <v>21</v>
      </c>
      <c r="V9" s="12" t="s">
        <v>4</v>
      </c>
      <c r="W9" s="12">
        <v>360</v>
      </c>
      <c r="X9" s="11">
        <v>81</v>
      </c>
    </row>
    <row r="10" spans="1:24" ht="15" thickBot="1" x14ac:dyDescent="0.35">
      <c r="A10">
        <v>9</v>
      </c>
      <c r="B10" s="21" t="s">
        <v>4</v>
      </c>
      <c r="C10">
        <v>345</v>
      </c>
      <c r="D10">
        <v>79</v>
      </c>
      <c r="N10" s="13">
        <v>345</v>
      </c>
      <c r="O10" s="13">
        <v>265</v>
      </c>
      <c r="P10" s="13">
        <v>215</v>
      </c>
      <c r="R10" s="10">
        <v>79</v>
      </c>
      <c r="S10" s="10">
        <v>52</v>
      </c>
      <c r="T10" s="10">
        <v>40</v>
      </c>
      <c r="V10" s="13" t="s">
        <v>4</v>
      </c>
      <c r="W10" s="13">
        <v>345</v>
      </c>
      <c r="X10" s="10">
        <v>79</v>
      </c>
    </row>
    <row r="11" spans="1:24" x14ac:dyDescent="0.3">
      <c r="A11">
        <v>10</v>
      </c>
      <c r="B11" s="21" t="s">
        <v>4</v>
      </c>
      <c r="C11">
        <v>355</v>
      </c>
      <c r="D11">
        <v>89</v>
      </c>
      <c r="H11" s="2" t="s">
        <v>2</v>
      </c>
      <c r="I11" s="2"/>
      <c r="K11" s="2" t="s">
        <v>3</v>
      </c>
      <c r="L11" s="2"/>
      <c r="N11" s="12">
        <v>355</v>
      </c>
      <c r="O11" s="12">
        <v>280</v>
      </c>
      <c r="P11" s="12">
        <v>170</v>
      </c>
      <c r="R11" s="11">
        <v>89</v>
      </c>
      <c r="S11" s="11">
        <v>51</v>
      </c>
      <c r="T11" s="11">
        <v>21</v>
      </c>
      <c r="V11" s="12" t="s">
        <v>4</v>
      </c>
      <c r="W11" s="12">
        <v>355</v>
      </c>
      <c r="X11" s="11">
        <v>89</v>
      </c>
    </row>
    <row r="12" spans="1:24" x14ac:dyDescent="0.3">
      <c r="A12">
        <v>11</v>
      </c>
      <c r="B12" s="21" t="s">
        <v>4</v>
      </c>
      <c r="C12">
        <v>340</v>
      </c>
      <c r="D12">
        <v>94</v>
      </c>
      <c r="N12" s="13">
        <v>340</v>
      </c>
      <c r="O12" s="13">
        <v>205</v>
      </c>
      <c r="P12" s="13">
        <v>180</v>
      </c>
      <c r="R12" s="10">
        <v>94</v>
      </c>
      <c r="S12" s="10">
        <v>31</v>
      </c>
      <c r="T12" s="10">
        <v>26</v>
      </c>
      <c r="U12" s="6"/>
      <c r="V12" s="13" t="s">
        <v>4</v>
      </c>
      <c r="W12" s="13">
        <v>340</v>
      </c>
      <c r="X12" s="10">
        <v>94</v>
      </c>
    </row>
    <row r="13" spans="1:24" x14ac:dyDescent="0.3">
      <c r="A13">
        <v>12</v>
      </c>
      <c r="B13" s="21" t="s">
        <v>4</v>
      </c>
      <c r="C13">
        <v>310</v>
      </c>
      <c r="D13">
        <v>52</v>
      </c>
      <c r="H13" t="s">
        <v>7</v>
      </c>
      <c r="I13">
        <v>254.06666666666666</v>
      </c>
      <c r="K13" t="s">
        <v>7</v>
      </c>
      <c r="L13">
        <v>44.24</v>
      </c>
      <c r="N13" s="12">
        <v>310</v>
      </c>
      <c r="O13" s="12">
        <v>290</v>
      </c>
      <c r="P13" s="12">
        <v>175</v>
      </c>
      <c r="R13" s="11">
        <v>52</v>
      </c>
      <c r="S13" s="11">
        <v>38</v>
      </c>
      <c r="T13" s="11">
        <v>16</v>
      </c>
      <c r="U13" s="6"/>
      <c r="V13" s="12" t="s">
        <v>4</v>
      </c>
      <c r="W13" s="12">
        <v>310</v>
      </c>
      <c r="X13" s="11">
        <v>52</v>
      </c>
    </row>
    <row r="14" spans="1:24" x14ac:dyDescent="0.3">
      <c r="A14">
        <v>13</v>
      </c>
      <c r="B14" s="21" t="s">
        <v>4</v>
      </c>
      <c r="C14">
        <v>375</v>
      </c>
      <c r="D14">
        <v>81</v>
      </c>
      <c r="H14" t="s">
        <v>8</v>
      </c>
      <c r="I14">
        <v>5.3303375254968275</v>
      </c>
      <c r="K14" t="s">
        <v>8</v>
      </c>
      <c r="L14">
        <v>1.9782187545152543</v>
      </c>
      <c r="N14" s="13">
        <v>375</v>
      </c>
      <c r="O14" s="13">
        <v>280</v>
      </c>
      <c r="P14" s="13">
        <v>165</v>
      </c>
      <c r="R14" s="10">
        <v>81</v>
      </c>
      <c r="S14" s="10">
        <v>57</v>
      </c>
      <c r="T14" s="10">
        <v>22</v>
      </c>
      <c r="U14" s="6"/>
      <c r="V14" s="13" t="s">
        <v>4</v>
      </c>
      <c r="W14" s="13">
        <v>375</v>
      </c>
      <c r="X14" s="10">
        <v>81</v>
      </c>
    </row>
    <row r="15" spans="1:24" x14ac:dyDescent="0.3">
      <c r="A15">
        <v>14</v>
      </c>
      <c r="B15" s="21" t="s">
        <v>4</v>
      </c>
      <c r="C15">
        <v>360</v>
      </c>
      <c r="D15">
        <v>68</v>
      </c>
      <c r="H15" t="s">
        <v>9</v>
      </c>
      <c r="I15">
        <v>247.5</v>
      </c>
      <c r="K15" t="s">
        <v>9</v>
      </c>
      <c r="L15">
        <v>38</v>
      </c>
      <c r="N15" s="12">
        <v>360</v>
      </c>
      <c r="O15" s="12">
        <v>275</v>
      </c>
      <c r="P15" s="12">
        <v>205</v>
      </c>
      <c r="R15" s="11">
        <v>68</v>
      </c>
      <c r="S15" s="11">
        <v>52</v>
      </c>
      <c r="T15" s="11">
        <v>28</v>
      </c>
      <c r="U15" s="6"/>
      <c r="V15" s="12" t="s">
        <v>4</v>
      </c>
      <c r="W15" s="12">
        <v>360</v>
      </c>
      <c r="X15" s="11">
        <v>68</v>
      </c>
    </row>
    <row r="16" spans="1:24" x14ac:dyDescent="0.3">
      <c r="A16">
        <v>15</v>
      </c>
      <c r="B16" s="21" t="s">
        <v>4</v>
      </c>
      <c r="C16">
        <v>380</v>
      </c>
      <c r="D16">
        <v>88</v>
      </c>
      <c r="H16" t="s">
        <v>10</v>
      </c>
      <c r="I16">
        <v>355</v>
      </c>
      <c r="K16" t="s">
        <v>10</v>
      </c>
      <c r="L16">
        <v>21</v>
      </c>
      <c r="N16" s="13">
        <v>380</v>
      </c>
      <c r="O16" s="13">
        <v>280</v>
      </c>
      <c r="P16" s="13">
        <v>170</v>
      </c>
      <c r="R16" s="10">
        <v>88</v>
      </c>
      <c r="S16" s="10">
        <v>59</v>
      </c>
      <c r="T16" s="10">
        <v>19</v>
      </c>
      <c r="U16" s="6"/>
      <c r="V16" s="13" t="s">
        <v>4</v>
      </c>
      <c r="W16" s="13">
        <v>380</v>
      </c>
      <c r="X16" s="10">
        <v>88</v>
      </c>
    </row>
    <row r="17" spans="1:24" x14ac:dyDescent="0.3">
      <c r="A17">
        <v>16</v>
      </c>
      <c r="B17" s="21" t="s">
        <v>4</v>
      </c>
      <c r="C17">
        <v>355</v>
      </c>
      <c r="D17">
        <v>87</v>
      </c>
      <c r="H17" t="s">
        <v>11</v>
      </c>
      <c r="I17">
        <v>65.283035471383727</v>
      </c>
      <c r="K17" t="s">
        <v>11</v>
      </c>
      <c r="L17">
        <v>24.228132740832145</v>
      </c>
      <c r="N17" s="12">
        <v>355</v>
      </c>
      <c r="O17" s="12">
        <v>205</v>
      </c>
      <c r="P17" s="12">
        <v>195</v>
      </c>
      <c r="R17" s="11">
        <v>87</v>
      </c>
      <c r="S17" s="11">
        <v>32</v>
      </c>
      <c r="T17" s="11">
        <v>27</v>
      </c>
      <c r="U17" s="6"/>
      <c r="V17" s="12" t="s">
        <v>4</v>
      </c>
      <c r="W17" s="12">
        <v>355</v>
      </c>
      <c r="X17" s="11">
        <v>87</v>
      </c>
    </row>
    <row r="18" spans="1:24" x14ac:dyDescent="0.3">
      <c r="A18">
        <v>17</v>
      </c>
      <c r="B18" s="21" t="s">
        <v>4</v>
      </c>
      <c r="C18">
        <v>355</v>
      </c>
      <c r="D18">
        <v>86</v>
      </c>
      <c r="H18" t="s">
        <v>12</v>
      </c>
      <c r="I18">
        <v>4261.874720357946</v>
      </c>
      <c r="K18" t="s">
        <v>12</v>
      </c>
      <c r="L18">
        <v>587.00241610738249</v>
      </c>
      <c r="N18" s="13">
        <v>355</v>
      </c>
      <c r="O18" s="13">
        <v>290</v>
      </c>
      <c r="P18" s="13">
        <v>195</v>
      </c>
      <c r="R18" s="10">
        <v>86</v>
      </c>
      <c r="S18" s="10">
        <v>38</v>
      </c>
      <c r="T18" s="10">
        <v>35</v>
      </c>
      <c r="U18" s="6"/>
      <c r="V18" s="13" t="s">
        <v>4</v>
      </c>
      <c r="W18" s="13">
        <v>355</v>
      </c>
      <c r="X18" s="10">
        <v>86</v>
      </c>
    </row>
    <row r="19" spans="1:24" x14ac:dyDescent="0.3">
      <c r="A19">
        <v>18</v>
      </c>
      <c r="B19" s="21" t="s">
        <v>4</v>
      </c>
      <c r="C19">
        <v>310</v>
      </c>
      <c r="D19">
        <v>66</v>
      </c>
      <c r="H19" t="s">
        <v>13</v>
      </c>
      <c r="I19">
        <v>-1.1419921217039777</v>
      </c>
      <c r="K19" t="s">
        <v>13</v>
      </c>
      <c r="L19">
        <v>-0.87170446094811549</v>
      </c>
      <c r="N19" s="12">
        <v>310</v>
      </c>
      <c r="O19" s="12">
        <v>315</v>
      </c>
      <c r="P19" s="12">
        <v>190</v>
      </c>
      <c r="R19" s="11">
        <v>66</v>
      </c>
      <c r="S19" s="11">
        <v>69</v>
      </c>
      <c r="T19" s="11">
        <v>20</v>
      </c>
      <c r="U19" s="6"/>
      <c r="V19" s="12" t="s">
        <v>4</v>
      </c>
      <c r="W19" s="12">
        <v>310</v>
      </c>
      <c r="X19" s="11">
        <v>66</v>
      </c>
    </row>
    <row r="20" spans="1:24" x14ac:dyDescent="0.3">
      <c r="A20">
        <v>19</v>
      </c>
      <c r="B20" s="21" t="s">
        <v>4</v>
      </c>
      <c r="C20">
        <v>355</v>
      </c>
      <c r="D20">
        <v>91</v>
      </c>
      <c r="H20" t="s">
        <v>14</v>
      </c>
      <c r="I20">
        <v>0.35309977845795898</v>
      </c>
      <c r="K20" t="s">
        <v>14</v>
      </c>
      <c r="L20">
        <v>0.58310354483159099</v>
      </c>
      <c r="N20" s="13">
        <v>355</v>
      </c>
      <c r="O20" s="13">
        <v>310</v>
      </c>
      <c r="P20" s="13">
        <v>200</v>
      </c>
      <c r="R20" s="10">
        <v>91</v>
      </c>
      <c r="S20" s="10">
        <v>54</v>
      </c>
      <c r="T20" s="10">
        <v>21</v>
      </c>
      <c r="U20" s="6"/>
      <c r="V20" s="13" t="s">
        <v>4</v>
      </c>
      <c r="W20" s="13">
        <v>355</v>
      </c>
      <c r="X20" s="10">
        <v>91</v>
      </c>
    </row>
    <row r="21" spans="1:24" x14ac:dyDescent="0.3">
      <c r="A21">
        <v>20</v>
      </c>
      <c r="B21" s="21" t="s">
        <v>4</v>
      </c>
      <c r="C21">
        <v>360</v>
      </c>
      <c r="D21">
        <v>94</v>
      </c>
      <c r="H21" t="s">
        <v>15</v>
      </c>
      <c r="I21">
        <v>225</v>
      </c>
      <c r="K21" t="s">
        <v>15</v>
      </c>
      <c r="L21">
        <v>88</v>
      </c>
      <c r="N21" s="12">
        <v>360</v>
      </c>
      <c r="O21" s="12">
        <v>330</v>
      </c>
      <c r="P21" s="12">
        <v>190</v>
      </c>
      <c r="R21" s="11">
        <v>94</v>
      </c>
      <c r="S21" s="11">
        <v>88</v>
      </c>
      <c r="T21" s="11">
        <v>19</v>
      </c>
      <c r="U21" s="6"/>
      <c r="V21" s="12" t="s">
        <v>4</v>
      </c>
      <c r="W21" s="12">
        <v>360</v>
      </c>
      <c r="X21" s="11">
        <v>94</v>
      </c>
    </row>
    <row r="22" spans="1:24" x14ac:dyDescent="0.3">
      <c r="A22">
        <v>21</v>
      </c>
      <c r="B22" s="21" t="s">
        <v>4</v>
      </c>
      <c r="C22">
        <v>355</v>
      </c>
      <c r="D22">
        <v>71</v>
      </c>
      <c r="H22" t="s">
        <v>16</v>
      </c>
      <c r="I22">
        <v>155</v>
      </c>
      <c r="K22" t="s">
        <v>16</v>
      </c>
      <c r="L22">
        <v>9</v>
      </c>
      <c r="N22" s="13">
        <v>355</v>
      </c>
      <c r="O22" s="13">
        <v>230</v>
      </c>
      <c r="P22" s="13">
        <v>160</v>
      </c>
      <c r="R22" s="10">
        <v>71</v>
      </c>
      <c r="S22" s="10">
        <v>40</v>
      </c>
      <c r="T22" s="10">
        <v>16</v>
      </c>
      <c r="V22" s="13" t="s">
        <v>4</v>
      </c>
      <c r="W22" s="13">
        <v>355</v>
      </c>
      <c r="X22" s="10">
        <v>71</v>
      </c>
    </row>
    <row r="23" spans="1:24" x14ac:dyDescent="0.3">
      <c r="A23">
        <v>22</v>
      </c>
      <c r="B23" s="21" t="s">
        <v>4</v>
      </c>
      <c r="C23">
        <v>360</v>
      </c>
      <c r="D23">
        <v>97</v>
      </c>
      <c r="H23" t="s">
        <v>17</v>
      </c>
      <c r="I23">
        <v>380</v>
      </c>
      <c r="K23" t="s">
        <v>17</v>
      </c>
      <c r="L23">
        <v>97</v>
      </c>
      <c r="N23" s="12">
        <v>360</v>
      </c>
      <c r="O23" s="12">
        <v>265</v>
      </c>
      <c r="P23" s="12">
        <v>190</v>
      </c>
      <c r="R23" s="11">
        <v>97</v>
      </c>
      <c r="S23" s="11">
        <v>65</v>
      </c>
      <c r="T23" s="11">
        <v>14</v>
      </c>
      <c r="V23" s="12" t="s">
        <v>4</v>
      </c>
      <c r="W23" s="12">
        <v>360</v>
      </c>
      <c r="X23" s="11">
        <v>97</v>
      </c>
    </row>
    <row r="24" spans="1:24" x14ac:dyDescent="0.3">
      <c r="A24">
        <v>23</v>
      </c>
      <c r="B24" s="21" t="s">
        <v>4</v>
      </c>
      <c r="C24">
        <v>345</v>
      </c>
      <c r="D24">
        <v>56</v>
      </c>
      <c r="H24" t="s">
        <v>18</v>
      </c>
      <c r="I24">
        <v>38110</v>
      </c>
      <c r="K24" t="s">
        <v>18</v>
      </c>
      <c r="L24">
        <v>6636</v>
      </c>
      <c r="N24" s="13">
        <v>345</v>
      </c>
      <c r="O24" s="13">
        <v>355</v>
      </c>
      <c r="P24" s="13">
        <v>175</v>
      </c>
      <c r="R24" s="10">
        <v>56</v>
      </c>
      <c r="S24" s="10">
        <v>90</v>
      </c>
      <c r="T24" s="10">
        <v>19</v>
      </c>
      <c r="V24" s="13" t="s">
        <v>4</v>
      </c>
      <c r="W24" s="13">
        <v>345</v>
      </c>
      <c r="X24" s="10">
        <v>56</v>
      </c>
    </row>
    <row r="25" spans="1:24" x14ac:dyDescent="0.3">
      <c r="A25">
        <v>24</v>
      </c>
      <c r="B25" s="21" t="s">
        <v>4</v>
      </c>
      <c r="C25">
        <v>365</v>
      </c>
      <c r="D25">
        <v>94</v>
      </c>
      <c r="H25" t="s">
        <v>19</v>
      </c>
      <c r="I25">
        <v>150</v>
      </c>
      <c r="K25" t="s">
        <v>19</v>
      </c>
      <c r="L25">
        <v>150</v>
      </c>
      <c r="N25" s="12">
        <v>365</v>
      </c>
      <c r="O25" s="12">
        <v>270</v>
      </c>
      <c r="P25" s="12">
        <v>185</v>
      </c>
      <c r="R25" s="11">
        <v>94</v>
      </c>
      <c r="S25" s="11">
        <v>43</v>
      </c>
      <c r="T25" s="11">
        <v>9</v>
      </c>
      <c r="V25" s="12" t="s">
        <v>4</v>
      </c>
      <c r="W25" s="12">
        <v>365</v>
      </c>
      <c r="X25" s="11">
        <v>94</v>
      </c>
    </row>
    <row r="26" spans="1:24" x14ac:dyDescent="0.3">
      <c r="A26">
        <v>25</v>
      </c>
      <c r="B26" s="21" t="s">
        <v>4</v>
      </c>
      <c r="C26">
        <v>345</v>
      </c>
      <c r="D26">
        <v>79</v>
      </c>
      <c r="H26" t="s">
        <v>20</v>
      </c>
      <c r="I26">
        <v>380</v>
      </c>
      <c r="K26" t="s">
        <v>20</v>
      </c>
      <c r="L26">
        <v>97</v>
      </c>
      <c r="N26" s="13">
        <v>345</v>
      </c>
      <c r="O26" s="13">
        <v>265</v>
      </c>
      <c r="P26" s="13">
        <v>180</v>
      </c>
      <c r="R26" s="10">
        <v>79</v>
      </c>
      <c r="S26" s="10">
        <v>62</v>
      </c>
      <c r="T26" s="10">
        <v>26</v>
      </c>
      <c r="V26" s="13" t="s">
        <v>4</v>
      </c>
      <c r="W26" s="13">
        <v>345</v>
      </c>
      <c r="X26" s="10">
        <v>79</v>
      </c>
    </row>
    <row r="27" spans="1:24" x14ac:dyDescent="0.3">
      <c r="A27">
        <v>26</v>
      </c>
      <c r="B27" s="21" t="s">
        <v>4</v>
      </c>
      <c r="C27">
        <v>265</v>
      </c>
      <c r="D27">
        <v>30</v>
      </c>
      <c r="H27" t="s">
        <v>21</v>
      </c>
      <c r="I27">
        <v>155</v>
      </c>
      <c r="K27" t="s">
        <v>21</v>
      </c>
      <c r="L27">
        <v>9</v>
      </c>
      <c r="N27" s="12">
        <v>265</v>
      </c>
      <c r="O27" s="12">
        <v>205</v>
      </c>
      <c r="P27" s="12">
        <v>175</v>
      </c>
      <c r="R27" s="11">
        <v>30</v>
      </c>
      <c r="S27" s="11">
        <v>18</v>
      </c>
      <c r="T27" s="11">
        <v>19</v>
      </c>
      <c r="V27" s="12" t="s">
        <v>4</v>
      </c>
      <c r="W27" s="12">
        <v>265</v>
      </c>
      <c r="X27" s="11">
        <v>30</v>
      </c>
    </row>
    <row r="28" spans="1:24" ht="15" thickBot="1" x14ac:dyDescent="0.35">
      <c r="A28">
        <v>27</v>
      </c>
      <c r="B28" s="21" t="s">
        <v>4</v>
      </c>
      <c r="C28">
        <v>315</v>
      </c>
      <c r="D28">
        <v>55</v>
      </c>
      <c r="H28" s="1" t="s">
        <v>22</v>
      </c>
      <c r="I28" s="1">
        <v>10.532817191912953</v>
      </c>
      <c r="K28" s="1" t="s">
        <v>22</v>
      </c>
      <c r="L28" s="1">
        <v>3.9089863272740515</v>
      </c>
      <c r="N28" s="13">
        <v>315</v>
      </c>
      <c r="O28" s="13">
        <v>190</v>
      </c>
      <c r="P28" s="13">
        <v>210</v>
      </c>
      <c r="R28" s="10">
        <v>55</v>
      </c>
      <c r="S28" s="10">
        <v>42</v>
      </c>
      <c r="T28" s="10">
        <v>33</v>
      </c>
      <c r="V28" s="13" t="s">
        <v>4</v>
      </c>
      <c r="W28" s="13">
        <v>315</v>
      </c>
      <c r="X28" s="10">
        <v>55</v>
      </c>
    </row>
    <row r="29" spans="1:24" x14ac:dyDescent="0.3">
      <c r="A29">
        <v>28</v>
      </c>
      <c r="B29" s="21" t="s">
        <v>4</v>
      </c>
      <c r="C29">
        <v>305</v>
      </c>
      <c r="D29">
        <v>36</v>
      </c>
      <c r="N29" s="12">
        <v>305</v>
      </c>
      <c r="O29" s="12">
        <v>220</v>
      </c>
      <c r="P29" s="12">
        <v>190</v>
      </c>
      <c r="R29" s="11">
        <v>36</v>
      </c>
      <c r="S29" s="11">
        <v>33</v>
      </c>
      <c r="T29" s="11">
        <v>25</v>
      </c>
      <c r="V29" s="12" t="s">
        <v>4</v>
      </c>
      <c r="W29" s="12">
        <v>305</v>
      </c>
      <c r="X29" s="11">
        <v>36</v>
      </c>
    </row>
    <row r="30" spans="1:24" x14ac:dyDescent="0.3">
      <c r="A30">
        <v>29</v>
      </c>
      <c r="B30" s="21" t="s">
        <v>4</v>
      </c>
      <c r="C30">
        <v>305</v>
      </c>
      <c r="D30">
        <v>45</v>
      </c>
      <c r="N30" s="13">
        <v>305</v>
      </c>
      <c r="O30" s="13">
        <v>230</v>
      </c>
      <c r="P30" s="13">
        <v>175</v>
      </c>
      <c r="R30" s="10">
        <v>45</v>
      </c>
      <c r="S30" s="10">
        <v>21</v>
      </c>
      <c r="T30" s="10">
        <v>25</v>
      </c>
      <c r="V30" s="13" t="s">
        <v>4</v>
      </c>
      <c r="W30" s="13">
        <v>305</v>
      </c>
      <c r="X30" s="10">
        <v>45</v>
      </c>
    </row>
    <row r="31" spans="1:24" x14ac:dyDescent="0.3">
      <c r="A31">
        <v>30</v>
      </c>
      <c r="B31" s="21" t="s">
        <v>4</v>
      </c>
      <c r="C31">
        <v>280</v>
      </c>
      <c r="D31">
        <v>33</v>
      </c>
      <c r="H31" s="18"/>
      <c r="I31" s="18"/>
      <c r="K31" s="18"/>
      <c r="L31" s="18"/>
      <c r="N31" s="12">
        <v>280</v>
      </c>
      <c r="O31" s="12">
        <v>235</v>
      </c>
      <c r="P31" s="12">
        <v>190</v>
      </c>
      <c r="R31" s="11">
        <v>33</v>
      </c>
      <c r="S31" s="11">
        <v>18</v>
      </c>
      <c r="T31" s="11">
        <v>21</v>
      </c>
      <c r="V31" s="12" t="s">
        <v>4</v>
      </c>
      <c r="W31" s="12">
        <v>280</v>
      </c>
      <c r="X31" s="11">
        <v>33</v>
      </c>
    </row>
    <row r="32" spans="1:24" x14ac:dyDescent="0.3">
      <c r="A32">
        <v>31</v>
      </c>
      <c r="B32" s="21" t="s">
        <v>4</v>
      </c>
      <c r="C32">
        <v>335</v>
      </c>
      <c r="D32">
        <v>81</v>
      </c>
      <c r="N32" s="13">
        <v>335</v>
      </c>
      <c r="O32" s="13">
        <v>260</v>
      </c>
      <c r="P32" s="13">
        <v>170</v>
      </c>
      <c r="R32" s="10">
        <v>81</v>
      </c>
      <c r="S32" s="10">
        <v>23</v>
      </c>
      <c r="T32" s="10">
        <v>25</v>
      </c>
      <c r="V32" s="13" t="s">
        <v>4</v>
      </c>
      <c r="W32" s="13">
        <v>335</v>
      </c>
      <c r="X32" s="10">
        <v>81</v>
      </c>
    </row>
    <row r="33" spans="1:24" x14ac:dyDescent="0.3">
      <c r="A33">
        <v>32</v>
      </c>
      <c r="B33" s="21" t="s">
        <v>4</v>
      </c>
      <c r="C33">
        <v>295</v>
      </c>
      <c r="D33">
        <v>64</v>
      </c>
      <c r="N33" s="12">
        <v>295</v>
      </c>
      <c r="O33" s="12">
        <v>215</v>
      </c>
      <c r="P33" s="12">
        <v>175</v>
      </c>
      <c r="R33" s="11">
        <v>64</v>
      </c>
      <c r="S33" s="11">
        <v>25</v>
      </c>
      <c r="T33" s="11">
        <v>21</v>
      </c>
      <c r="V33" s="12" t="s">
        <v>4</v>
      </c>
      <c r="W33" s="12">
        <v>295</v>
      </c>
      <c r="X33" s="11">
        <v>64</v>
      </c>
    </row>
    <row r="34" spans="1:24" x14ac:dyDescent="0.3">
      <c r="A34">
        <v>33</v>
      </c>
      <c r="B34" s="21" t="s">
        <v>4</v>
      </c>
      <c r="C34">
        <v>300</v>
      </c>
      <c r="D34">
        <v>65</v>
      </c>
      <c r="N34" s="13">
        <v>300</v>
      </c>
      <c r="O34" s="13">
        <v>215</v>
      </c>
      <c r="P34" s="13">
        <v>170</v>
      </c>
      <c r="R34" s="10">
        <v>65</v>
      </c>
      <c r="S34" s="10">
        <v>19</v>
      </c>
      <c r="T34" s="10">
        <v>21</v>
      </c>
      <c r="V34" s="13" t="s">
        <v>4</v>
      </c>
      <c r="W34" s="13">
        <v>300</v>
      </c>
      <c r="X34" s="10">
        <v>65</v>
      </c>
    </row>
    <row r="35" spans="1:24" x14ac:dyDescent="0.3">
      <c r="A35">
        <v>34</v>
      </c>
      <c r="B35" s="21" t="s">
        <v>4</v>
      </c>
      <c r="C35">
        <v>305</v>
      </c>
      <c r="D35">
        <v>45</v>
      </c>
      <c r="N35" s="12">
        <v>305</v>
      </c>
      <c r="O35" s="12">
        <v>205</v>
      </c>
      <c r="P35" s="12">
        <v>175</v>
      </c>
      <c r="R35" s="11">
        <v>45</v>
      </c>
      <c r="S35" s="11">
        <v>44</v>
      </c>
      <c r="T35" s="11">
        <v>33</v>
      </c>
      <c r="V35" s="12" t="s">
        <v>4</v>
      </c>
      <c r="W35" s="12">
        <v>305</v>
      </c>
      <c r="X35" s="11">
        <v>45</v>
      </c>
    </row>
    <row r="36" spans="1:24" x14ac:dyDescent="0.3">
      <c r="A36">
        <v>35</v>
      </c>
      <c r="B36" s="21" t="s">
        <v>4</v>
      </c>
      <c r="C36">
        <v>285</v>
      </c>
      <c r="D36">
        <v>61</v>
      </c>
      <c r="N36" s="13">
        <v>285</v>
      </c>
      <c r="O36" s="13">
        <v>215</v>
      </c>
      <c r="P36" s="13">
        <v>180</v>
      </c>
      <c r="R36" s="10">
        <v>61</v>
      </c>
      <c r="S36" s="10">
        <v>42</v>
      </c>
      <c r="T36" s="10">
        <v>22</v>
      </c>
      <c r="V36" s="13" t="s">
        <v>4</v>
      </c>
      <c r="W36" s="13">
        <v>285</v>
      </c>
      <c r="X36" s="10">
        <v>61</v>
      </c>
    </row>
    <row r="37" spans="1:24" x14ac:dyDescent="0.3">
      <c r="A37">
        <v>36</v>
      </c>
      <c r="B37" s="21" t="s">
        <v>4</v>
      </c>
      <c r="C37">
        <v>265</v>
      </c>
      <c r="D37">
        <v>75</v>
      </c>
      <c r="N37" s="12">
        <v>265</v>
      </c>
      <c r="O37" s="12">
        <v>235</v>
      </c>
      <c r="P37" s="12">
        <v>220</v>
      </c>
      <c r="R37" s="11">
        <v>75</v>
      </c>
      <c r="S37" s="11">
        <v>33</v>
      </c>
      <c r="T37" s="11">
        <v>29</v>
      </c>
      <c r="V37" s="12" t="s">
        <v>4</v>
      </c>
      <c r="W37" s="12">
        <v>265</v>
      </c>
      <c r="X37" s="11">
        <v>75</v>
      </c>
    </row>
    <row r="38" spans="1:24" x14ac:dyDescent="0.3">
      <c r="A38">
        <v>37</v>
      </c>
      <c r="B38" s="21" t="s">
        <v>4</v>
      </c>
      <c r="C38">
        <v>320</v>
      </c>
      <c r="D38">
        <v>50</v>
      </c>
      <c r="N38" s="13">
        <v>320</v>
      </c>
      <c r="O38" s="13">
        <v>245</v>
      </c>
      <c r="P38" s="13">
        <v>160</v>
      </c>
      <c r="R38" s="10">
        <v>50</v>
      </c>
      <c r="S38" s="10">
        <v>22</v>
      </c>
      <c r="T38" s="10">
        <v>17</v>
      </c>
      <c r="V38" s="13" t="s">
        <v>4</v>
      </c>
      <c r="W38" s="13">
        <v>320</v>
      </c>
      <c r="X38" s="10">
        <v>50</v>
      </c>
    </row>
    <row r="39" spans="1:24" x14ac:dyDescent="0.3">
      <c r="A39">
        <v>38</v>
      </c>
      <c r="B39" s="21" t="s">
        <v>4</v>
      </c>
      <c r="C39">
        <v>300</v>
      </c>
      <c r="D39">
        <v>72</v>
      </c>
      <c r="N39" s="12">
        <v>300</v>
      </c>
      <c r="O39" s="12">
        <v>225</v>
      </c>
      <c r="P39" s="12">
        <v>175</v>
      </c>
      <c r="R39" s="11">
        <v>72</v>
      </c>
      <c r="S39" s="11">
        <v>24</v>
      </c>
      <c r="T39" s="11">
        <v>17</v>
      </c>
      <c r="V39" s="12" t="s">
        <v>4</v>
      </c>
      <c r="W39" s="12">
        <v>300</v>
      </c>
      <c r="X39" s="11">
        <v>72</v>
      </c>
    </row>
    <row r="40" spans="1:24" x14ac:dyDescent="0.3">
      <c r="A40">
        <v>39</v>
      </c>
      <c r="B40" s="21" t="s">
        <v>4</v>
      </c>
      <c r="C40">
        <v>360</v>
      </c>
      <c r="D40">
        <v>92</v>
      </c>
      <c r="N40" s="13">
        <v>360</v>
      </c>
      <c r="O40" s="13">
        <v>240</v>
      </c>
      <c r="P40" s="13">
        <v>185</v>
      </c>
      <c r="R40" s="10">
        <v>92</v>
      </c>
      <c r="S40" s="10">
        <v>45</v>
      </c>
      <c r="T40" s="10">
        <v>29</v>
      </c>
      <c r="V40" s="13" t="s">
        <v>4</v>
      </c>
      <c r="W40" s="13">
        <v>360</v>
      </c>
      <c r="X40" s="10">
        <v>92</v>
      </c>
    </row>
    <row r="41" spans="1:24" x14ac:dyDescent="0.3">
      <c r="A41">
        <v>40</v>
      </c>
      <c r="B41" s="21" t="s">
        <v>4</v>
      </c>
      <c r="C41">
        <v>275</v>
      </c>
      <c r="D41">
        <v>40</v>
      </c>
      <c r="N41" s="12">
        <v>275</v>
      </c>
      <c r="O41" s="12">
        <v>280</v>
      </c>
      <c r="P41" s="12">
        <v>220</v>
      </c>
      <c r="R41" s="11">
        <v>40</v>
      </c>
      <c r="S41" s="11">
        <v>29</v>
      </c>
      <c r="T41" s="11">
        <v>33</v>
      </c>
      <c r="V41" s="12" t="s">
        <v>4</v>
      </c>
      <c r="W41" s="12">
        <v>275</v>
      </c>
      <c r="X41" s="11">
        <v>40</v>
      </c>
    </row>
    <row r="42" spans="1:24" x14ac:dyDescent="0.3">
      <c r="A42">
        <v>41</v>
      </c>
      <c r="B42" s="21" t="s">
        <v>4</v>
      </c>
      <c r="C42">
        <v>250</v>
      </c>
      <c r="D42">
        <v>36</v>
      </c>
      <c r="N42" s="13">
        <v>250</v>
      </c>
      <c r="O42" s="13">
        <v>295</v>
      </c>
      <c r="P42" s="13">
        <v>195</v>
      </c>
      <c r="R42" s="10">
        <v>36</v>
      </c>
      <c r="S42" s="10">
        <v>41</v>
      </c>
      <c r="T42" s="10">
        <v>30</v>
      </c>
      <c r="V42" s="13" t="s">
        <v>4</v>
      </c>
      <c r="W42" s="13">
        <v>250</v>
      </c>
      <c r="X42" s="10">
        <v>36</v>
      </c>
    </row>
    <row r="43" spans="1:24" x14ac:dyDescent="0.3">
      <c r="A43">
        <v>42</v>
      </c>
      <c r="B43" s="21" t="s">
        <v>4</v>
      </c>
      <c r="C43">
        <v>265</v>
      </c>
      <c r="D43">
        <v>50</v>
      </c>
      <c r="H43" t="s">
        <v>47</v>
      </c>
      <c r="N43" s="12">
        <v>265</v>
      </c>
      <c r="O43" s="12">
        <v>190</v>
      </c>
      <c r="P43" s="12">
        <v>180</v>
      </c>
      <c r="R43" s="11">
        <v>50</v>
      </c>
      <c r="S43" s="11">
        <v>14</v>
      </c>
      <c r="T43" s="11">
        <v>18</v>
      </c>
      <c r="V43" s="12" t="s">
        <v>4</v>
      </c>
      <c r="W43" s="12">
        <v>265</v>
      </c>
      <c r="X43" s="11">
        <v>50</v>
      </c>
    </row>
    <row r="44" spans="1:24" x14ac:dyDescent="0.3">
      <c r="A44">
        <v>43</v>
      </c>
      <c r="B44" s="21" t="s">
        <v>4</v>
      </c>
      <c r="C44">
        <v>275</v>
      </c>
      <c r="D44">
        <v>37</v>
      </c>
      <c r="N44" s="13">
        <v>275</v>
      </c>
      <c r="O44" s="13">
        <v>225</v>
      </c>
      <c r="P44" s="13">
        <v>210</v>
      </c>
      <c r="R44" s="10">
        <v>37</v>
      </c>
      <c r="S44" s="10">
        <v>37</v>
      </c>
      <c r="T44" s="10">
        <v>26</v>
      </c>
      <c r="V44" s="13" t="s">
        <v>4</v>
      </c>
      <c r="W44" s="13">
        <v>275</v>
      </c>
      <c r="X44" s="10">
        <v>37</v>
      </c>
    </row>
    <row r="45" spans="1:24" x14ac:dyDescent="0.3">
      <c r="A45">
        <v>44</v>
      </c>
      <c r="B45" s="21" t="s">
        <v>4</v>
      </c>
      <c r="C45">
        <v>295</v>
      </c>
      <c r="D45">
        <v>47</v>
      </c>
      <c r="N45" s="12">
        <v>295</v>
      </c>
      <c r="O45" s="12">
        <v>220</v>
      </c>
      <c r="P45" s="12">
        <v>205</v>
      </c>
      <c r="R45" s="11">
        <v>47</v>
      </c>
      <c r="S45" s="11">
        <v>35</v>
      </c>
      <c r="T45" s="11">
        <v>41</v>
      </c>
      <c r="V45" s="12" t="s">
        <v>4</v>
      </c>
      <c r="W45" s="12">
        <v>295</v>
      </c>
      <c r="X45" s="11">
        <v>47</v>
      </c>
    </row>
    <row r="46" spans="1:24" x14ac:dyDescent="0.3">
      <c r="A46">
        <v>45</v>
      </c>
      <c r="B46" s="21" t="s">
        <v>4</v>
      </c>
      <c r="C46">
        <v>275</v>
      </c>
      <c r="D46">
        <v>65</v>
      </c>
      <c r="N46" s="13">
        <v>275</v>
      </c>
      <c r="O46" s="13">
        <v>225</v>
      </c>
      <c r="P46" s="13">
        <v>155</v>
      </c>
      <c r="R46" s="10">
        <v>65</v>
      </c>
      <c r="S46" s="10">
        <v>20</v>
      </c>
      <c r="T46" s="10">
        <v>32</v>
      </c>
      <c r="V46" s="13" t="s">
        <v>4</v>
      </c>
      <c r="W46" s="13">
        <v>275</v>
      </c>
      <c r="X46" s="10">
        <v>65</v>
      </c>
    </row>
    <row r="47" spans="1:24" x14ac:dyDescent="0.3">
      <c r="A47">
        <v>46</v>
      </c>
      <c r="B47" s="21" t="s">
        <v>4</v>
      </c>
      <c r="C47">
        <v>295</v>
      </c>
      <c r="D47">
        <v>47</v>
      </c>
      <c r="N47" s="12">
        <v>295</v>
      </c>
      <c r="O47" s="12">
        <v>240</v>
      </c>
      <c r="P47" s="12">
        <v>180</v>
      </c>
      <c r="R47" s="11">
        <v>47</v>
      </c>
      <c r="S47" s="11">
        <v>31</v>
      </c>
      <c r="T47" s="11">
        <v>16</v>
      </c>
      <c r="V47" s="12" t="s">
        <v>4</v>
      </c>
      <c r="W47" s="12">
        <v>295</v>
      </c>
      <c r="X47" s="11">
        <v>47</v>
      </c>
    </row>
    <row r="48" spans="1:24" x14ac:dyDescent="0.3">
      <c r="A48">
        <v>47</v>
      </c>
      <c r="B48" s="21" t="s">
        <v>4</v>
      </c>
      <c r="C48">
        <v>365</v>
      </c>
      <c r="D48">
        <v>75</v>
      </c>
      <c r="N48" s="13">
        <v>365</v>
      </c>
      <c r="O48" s="13">
        <v>255</v>
      </c>
      <c r="P48" s="13">
        <v>175</v>
      </c>
      <c r="R48" s="10">
        <v>75</v>
      </c>
      <c r="S48" s="10">
        <v>57</v>
      </c>
      <c r="T48" s="10">
        <v>20</v>
      </c>
      <c r="V48" s="13" t="s">
        <v>4</v>
      </c>
      <c r="W48" s="13">
        <v>365</v>
      </c>
      <c r="X48" s="10">
        <v>75</v>
      </c>
    </row>
    <row r="49" spans="1:24" x14ac:dyDescent="0.3">
      <c r="A49">
        <v>48</v>
      </c>
      <c r="B49" s="21" t="s">
        <v>4</v>
      </c>
      <c r="C49">
        <v>255</v>
      </c>
      <c r="D49">
        <v>50</v>
      </c>
      <c r="N49" s="12">
        <v>255</v>
      </c>
      <c r="O49" s="12">
        <v>230</v>
      </c>
      <c r="P49" s="12">
        <v>165</v>
      </c>
      <c r="R49" s="11">
        <v>50</v>
      </c>
      <c r="S49" s="11">
        <v>17</v>
      </c>
      <c r="T49" s="11">
        <v>20</v>
      </c>
      <c r="V49" s="12" t="s">
        <v>4</v>
      </c>
      <c r="W49" s="12">
        <v>255</v>
      </c>
      <c r="X49" s="11">
        <v>50</v>
      </c>
    </row>
    <row r="50" spans="1:24" x14ac:dyDescent="0.3">
      <c r="A50">
        <v>49</v>
      </c>
      <c r="B50" s="21" t="s">
        <v>4</v>
      </c>
      <c r="C50">
        <v>280</v>
      </c>
      <c r="D50">
        <v>69</v>
      </c>
      <c r="N50" s="13">
        <v>280</v>
      </c>
      <c r="O50" s="13">
        <v>200</v>
      </c>
      <c r="P50" s="13">
        <v>195</v>
      </c>
      <c r="R50" s="10">
        <v>69</v>
      </c>
      <c r="S50" s="10">
        <v>32</v>
      </c>
      <c r="T50" s="10">
        <v>17</v>
      </c>
      <c r="V50" s="13" t="s">
        <v>4</v>
      </c>
      <c r="W50" s="13">
        <v>280</v>
      </c>
      <c r="X50" s="10">
        <v>69</v>
      </c>
    </row>
    <row r="51" spans="1:24" x14ac:dyDescent="0.3">
      <c r="A51">
        <v>50</v>
      </c>
      <c r="B51" s="21" t="s">
        <v>4</v>
      </c>
      <c r="C51">
        <v>280</v>
      </c>
      <c r="D51">
        <v>48</v>
      </c>
      <c r="N51" s="12">
        <v>280</v>
      </c>
      <c r="O51" s="12">
        <v>225</v>
      </c>
      <c r="P51" s="12">
        <v>195</v>
      </c>
      <c r="R51" s="11">
        <v>48</v>
      </c>
      <c r="S51" s="11">
        <v>42</v>
      </c>
      <c r="T51" s="11">
        <v>15</v>
      </c>
      <c r="V51" s="12" t="s">
        <v>4</v>
      </c>
      <c r="W51" s="12">
        <v>280</v>
      </c>
      <c r="X51" s="11">
        <v>48</v>
      </c>
    </row>
    <row r="52" spans="1:24" x14ac:dyDescent="0.3">
      <c r="A52">
        <v>51</v>
      </c>
      <c r="B52" s="21" t="s">
        <v>5</v>
      </c>
      <c r="C52">
        <v>255</v>
      </c>
      <c r="D52">
        <v>74</v>
      </c>
      <c r="V52" s="13" t="s">
        <v>5</v>
      </c>
      <c r="W52" s="13">
        <v>255</v>
      </c>
      <c r="X52" s="10">
        <v>74</v>
      </c>
    </row>
    <row r="53" spans="1:24" x14ac:dyDescent="0.3">
      <c r="A53">
        <v>52</v>
      </c>
      <c r="B53" s="21" t="s">
        <v>5</v>
      </c>
      <c r="C53">
        <v>235</v>
      </c>
      <c r="D53">
        <v>36</v>
      </c>
      <c r="V53" s="12" t="s">
        <v>5</v>
      </c>
      <c r="W53" s="12">
        <v>235</v>
      </c>
      <c r="X53" s="11">
        <v>36</v>
      </c>
    </row>
    <row r="54" spans="1:24" x14ac:dyDescent="0.3">
      <c r="A54">
        <v>53</v>
      </c>
      <c r="B54" s="21" t="s">
        <v>5</v>
      </c>
      <c r="C54">
        <v>265</v>
      </c>
      <c r="D54">
        <v>50</v>
      </c>
      <c r="V54" s="13" t="s">
        <v>5</v>
      </c>
      <c r="W54" s="13">
        <v>265</v>
      </c>
      <c r="X54" s="10">
        <v>50</v>
      </c>
    </row>
    <row r="55" spans="1:24" x14ac:dyDescent="0.3">
      <c r="A55">
        <v>54</v>
      </c>
      <c r="B55" s="21" t="s">
        <v>5</v>
      </c>
      <c r="C55">
        <v>350</v>
      </c>
      <c r="D55">
        <v>67</v>
      </c>
      <c r="V55" s="12" t="s">
        <v>5</v>
      </c>
      <c r="W55" s="12">
        <v>350</v>
      </c>
      <c r="X55" s="11">
        <v>67</v>
      </c>
    </row>
    <row r="56" spans="1:24" x14ac:dyDescent="0.3">
      <c r="A56">
        <v>55</v>
      </c>
      <c r="B56" s="21" t="s">
        <v>5</v>
      </c>
      <c r="C56">
        <v>260</v>
      </c>
      <c r="D56">
        <v>65</v>
      </c>
      <c r="V56" s="13" t="s">
        <v>5</v>
      </c>
      <c r="W56" s="13">
        <v>260</v>
      </c>
      <c r="X56" s="10">
        <v>65</v>
      </c>
    </row>
    <row r="57" spans="1:24" x14ac:dyDescent="0.3">
      <c r="A57">
        <v>56</v>
      </c>
      <c r="B57" s="21" t="s">
        <v>5</v>
      </c>
      <c r="C57">
        <v>250</v>
      </c>
      <c r="D57">
        <v>65</v>
      </c>
      <c r="V57" s="12" t="s">
        <v>5</v>
      </c>
      <c r="W57" s="12">
        <v>250</v>
      </c>
      <c r="X57" s="11">
        <v>65</v>
      </c>
    </row>
    <row r="58" spans="1:24" x14ac:dyDescent="0.3">
      <c r="A58">
        <v>57</v>
      </c>
      <c r="B58" s="21" t="s">
        <v>5</v>
      </c>
      <c r="C58">
        <v>280</v>
      </c>
      <c r="D58">
        <v>49</v>
      </c>
      <c r="V58" s="13" t="s">
        <v>5</v>
      </c>
      <c r="W58" s="13">
        <v>280</v>
      </c>
      <c r="X58" s="10">
        <v>49</v>
      </c>
    </row>
    <row r="59" spans="1:24" x14ac:dyDescent="0.3">
      <c r="A59">
        <v>58</v>
      </c>
      <c r="B59" s="21" t="s">
        <v>5</v>
      </c>
      <c r="C59">
        <v>265</v>
      </c>
      <c r="D59">
        <v>46</v>
      </c>
      <c r="V59" s="12" t="s">
        <v>5</v>
      </c>
      <c r="W59" s="12">
        <v>265</v>
      </c>
      <c r="X59" s="11">
        <v>46</v>
      </c>
    </row>
    <row r="60" spans="1:24" x14ac:dyDescent="0.3">
      <c r="A60">
        <v>59</v>
      </c>
      <c r="B60" s="21" t="s">
        <v>5</v>
      </c>
      <c r="C60">
        <v>265</v>
      </c>
      <c r="D60">
        <v>52</v>
      </c>
      <c r="V60" s="13" t="s">
        <v>5</v>
      </c>
      <c r="W60" s="13">
        <v>265</v>
      </c>
      <c r="X60" s="10">
        <v>52</v>
      </c>
    </row>
    <row r="61" spans="1:24" x14ac:dyDescent="0.3">
      <c r="A61">
        <v>60</v>
      </c>
      <c r="B61" s="21" t="s">
        <v>5</v>
      </c>
      <c r="C61">
        <v>280</v>
      </c>
      <c r="D61">
        <v>51</v>
      </c>
      <c r="V61" s="12" t="s">
        <v>5</v>
      </c>
      <c r="W61" s="12">
        <v>280</v>
      </c>
      <c r="X61" s="11">
        <v>51</v>
      </c>
    </row>
    <row r="62" spans="1:24" x14ac:dyDescent="0.3">
      <c r="A62">
        <v>61</v>
      </c>
      <c r="B62" s="21" t="s">
        <v>5</v>
      </c>
      <c r="C62">
        <v>205</v>
      </c>
      <c r="D62">
        <v>31</v>
      </c>
      <c r="V62" s="13" t="s">
        <v>5</v>
      </c>
      <c r="W62" s="13">
        <v>205</v>
      </c>
      <c r="X62" s="10">
        <v>31</v>
      </c>
    </row>
    <row r="63" spans="1:24" x14ac:dyDescent="0.3">
      <c r="A63">
        <v>62</v>
      </c>
      <c r="B63" s="21" t="s">
        <v>5</v>
      </c>
      <c r="C63">
        <v>290</v>
      </c>
      <c r="D63">
        <v>38</v>
      </c>
      <c r="V63" s="12" t="s">
        <v>5</v>
      </c>
      <c r="W63" s="12">
        <v>290</v>
      </c>
      <c r="X63" s="11">
        <v>38</v>
      </c>
    </row>
    <row r="64" spans="1:24" x14ac:dyDescent="0.3">
      <c r="A64">
        <v>63</v>
      </c>
      <c r="B64" s="21" t="s">
        <v>5</v>
      </c>
      <c r="C64">
        <v>280</v>
      </c>
      <c r="D64">
        <v>57</v>
      </c>
      <c r="V64" s="13" t="s">
        <v>5</v>
      </c>
      <c r="W64" s="13">
        <v>280</v>
      </c>
      <c r="X64" s="10">
        <v>57</v>
      </c>
    </row>
    <row r="65" spans="1:24" x14ac:dyDescent="0.3">
      <c r="A65">
        <v>64</v>
      </c>
      <c r="B65" s="21" t="s">
        <v>5</v>
      </c>
      <c r="C65">
        <v>275</v>
      </c>
      <c r="D65">
        <v>52</v>
      </c>
      <c r="V65" s="12" t="s">
        <v>5</v>
      </c>
      <c r="W65" s="12">
        <v>275</v>
      </c>
      <c r="X65" s="11">
        <v>52</v>
      </c>
    </row>
    <row r="66" spans="1:24" x14ac:dyDescent="0.3">
      <c r="A66">
        <v>65</v>
      </c>
      <c r="B66" s="21" t="s">
        <v>5</v>
      </c>
      <c r="C66">
        <v>280</v>
      </c>
      <c r="D66">
        <v>59</v>
      </c>
      <c r="V66" s="13" t="s">
        <v>5</v>
      </c>
      <c r="W66" s="13">
        <v>280</v>
      </c>
      <c r="X66" s="10">
        <v>59</v>
      </c>
    </row>
    <row r="67" spans="1:24" x14ac:dyDescent="0.3">
      <c r="A67">
        <v>66</v>
      </c>
      <c r="B67" s="21" t="s">
        <v>5</v>
      </c>
      <c r="C67">
        <v>205</v>
      </c>
      <c r="D67">
        <v>32</v>
      </c>
      <c r="V67" s="12" t="s">
        <v>5</v>
      </c>
      <c r="W67" s="12">
        <v>205</v>
      </c>
      <c r="X67" s="11">
        <v>32</v>
      </c>
    </row>
    <row r="68" spans="1:24" x14ac:dyDescent="0.3">
      <c r="A68">
        <v>67</v>
      </c>
      <c r="B68" s="21" t="s">
        <v>5</v>
      </c>
      <c r="C68">
        <v>290</v>
      </c>
      <c r="D68">
        <v>38</v>
      </c>
      <c r="V68" s="13" t="s">
        <v>5</v>
      </c>
      <c r="W68" s="13">
        <v>290</v>
      </c>
      <c r="X68" s="10">
        <v>38</v>
      </c>
    </row>
    <row r="69" spans="1:24" x14ac:dyDescent="0.3">
      <c r="A69">
        <v>68</v>
      </c>
      <c r="B69" s="21" t="s">
        <v>5</v>
      </c>
      <c r="C69">
        <v>315</v>
      </c>
      <c r="D69">
        <v>69</v>
      </c>
      <c r="V69" s="12" t="s">
        <v>5</v>
      </c>
      <c r="W69" s="12">
        <v>315</v>
      </c>
      <c r="X69" s="11">
        <v>69</v>
      </c>
    </row>
    <row r="70" spans="1:24" x14ac:dyDescent="0.3">
      <c r="A70">
        <v>69</v>
      </c>
      <c r="B70" s="21" t="s">
        <v>5</v>
      </c>
      <c r="C70">
        <v>310</v>
      </c>
      <c r="D70">
        <v>54</v>
      </c>
      <c r="V70" s="13" t="s">
        <v>5</v>
      </c>
      <c r="W70" s="13">
        <v>310</v>
      </c>
      <c r="X70" s="10">
        <v>54</v>
      </c>
    </row>
    <row r="71" spans="1:24" x14ac:dyDescent="0.3">
      <c r="A71">
        <v>70</v>
      </c>
      <c r="B71" s="21" t="s">
        <v>5</v>
      </c>
      <c r="C71">
        <v>330</v>
      </c>
      <c r="D71">
        <v>88</v>
      </c>
      <c r="V71" s="12" t="s">
        <v>5</v>
      </c>
      <c r="W71" s="12">
        <v>330</v>
      </c>
      <c r="X71" s="11">
        <v>88</v>
      </c>
    </row>
    <row r="72" spans="1:24" x14ac:dyDescent="0.3">
      <c r="A72">
        <v>71</v>
      </c>
      <c r="B72" s="21" t="s">
        <v>5</v>
      </c>
      <c r="C72">
        <v>230</v>
      </c>
      <c r="D72">
        <v>40</v>
      </c>
      <c r="V72" s="13" t="s">
        <v>5</v>
      </c>
      <c r="W72" s="13">
        <v>230</v>
      </c>
      <c r="X72" s="10">
        <v>40</v>
      </c>
    </row>
    <row r="73" spans="1:24" x14ac:dyDescent="0.3">
      <c r="A73">
        <v>72</v>
      </c>
      <c r="B73" s="21" t="s">
        <v>5</v>
      </c>
      <c r="C73">
        <v>265</v>
      </c>
      <c r="D73">
        <v>65</v>
      </c>
      <c r="V73" s="12" t="s">
        <v>5</v>
      </c>
      <c r="W73" s="12">
        <v>265</v>
      </c>
      <c r="X73" s="11">
        <v>65</v>
      </c>
    </row>
    <row r="74" spans="1:24" x14ac:dyDescent="0.3">
      <c r="A74">
        <v>73</v>
      </c>
      <c r="B74" s="21" t="s">
        <v>5</v>
      </c>
      <c r="C74">
        <v>355</v>
      </c>
      <c r="D74">
        <v>90</v>
      </c>
      <c r="V74" s="13" t="s">
        <v>5</v>
      </c>
      <c r="W74" s="13">
        <v>355</v>
      </c>
      <c r="X74" s="10">
        <v>90</v>
      </c>
    </row>
    <row r="75" spans="1:24" x14ac:dyDescent="0.3">
      <c r="A75">
        <v>74</v>
      </c>
      <c r="B75" s="21" t="s">
        <v>5</v>
      </c>
      <c r="C75">
        <v>270</v>
      </c>
      <c r="D75">
        <v>43</v>
      </c>
      <c r="V75" s="12" t="s">
        <v>5</v>
      </c>
      <c r="W75" s="12">
        <v>270</v>
      </c>
      <c r="X75" s="11">
        <v>43</v>
      </c>
    </row>
    <row r="76" spans="1:24" x14ac:dyDescent="0.3">
      <c r="A76">
        <v>75</v>
      </c>
      <c r="B76" s="21" t="s">
        <v>5</v>
      </c>
      <c r="C76">
        <v>265</v>
      </c>
      <c r="D76">
        <v>62</v>
      </c>
      <c r="V76" s="13" t="s">
        <v>5</v>
      </c>
      <c r="W76" s="13">
        <v>265</v>
      </c>
      <c r="X76" s="10">
        <v>62</v>
      </c>
    </row>
    <row r="77" spans="1:24" x14ac:dyDescent="0.3">
      <c r="A77">
        <v>76</v>
      </c>
      <c r="B77" s="21" t="s">
        <v>5</v>
      </c>
      <c r="C77">
        <v>205</v>
      </c>
      <c r="D77">
        <v>18</v>
      </c>
      <c r="V77" s="12" t="s">
        <v>5</v>
      </c>
      <c r="W77" s="12">
        <v>205</v>
      </c>
      <c r="X77" s="11">
        <v>18</v>
      </c>
    </row>
    <row r="78" spans="1:24" x14ac:dyDescent="0.3">
      <c r="A78">
        <v>77</v>
      </c>
      <c r="B78" s="21" t="s">
        <v>5</v>
      </c>
      <c r="C78">
        <v>190</v>
      </c>
      <c r="D78">
        <v>42</v>
      </c>
      <c r="V78" s="13" t="s">
        <v>5</v>
      </c>
      <c r="W78" s="13">
        <v>190</v>
      </c>
      <c r="X78" s="10">
        <v>42</v>
      </c>
    </row>
    <row r="79" spans="1:24" x14ac:dyDescent="0.3">
      <c r="A79">
        <v>78</v>
      </c>
      <c r="B79" s="21" t="s">
        <v>5</v>
      </c>
      <c r="C79">
        <v>220</v>
      </c>
      <c r="D79">
        <v>33</v>
      </c>
      <c r="V79" s="12" t="s">
        <v>5</v>
      </c>
      <c r="W79" s="12">
        <v>220</v>
      </c>
      <c r="X79" s="11">
        <v>33</v>
      </c>
    </row>
    <row r="80" spans="1:24" x14ac:dyDescent="0.3">
      <c r="A80">
        <v>79</v>
      </c>
      <c r="B80" s="21" t="s">
        <v>5</v>
      </c>
      <c r="C80">
        <v>230</v>
      </c>
      <c r="D80">
        <v>21</v>
      </c>
      <c r="V80" s="13" t="s">
        <v>5</v>
      </c>
      <c r="W80" s="13">
        <v>230</v>
      </c>
      <c r="X80" s="10">
        <v>21</v>
      </c>
    </row>
    <row r="81" spans="1:24" x14ac:dyDescent="0.3">
      <c r="A81">
        <v>80</v>
      </c>
      <c r="B81" s="21" t="s">
        <v>5</v>
      </c>
      <c r="C81">
        <v>235</v>
      </c>
      <c r="D81">
        <v>18</v>
      </c>
      <c r="V81" s="12" t="s">
        <v>5</v>
      </c>
      <c r="W81" s="12">
        <v>235</v>
      </c>
      <c r="X81" s="11">
        <v>18</v>
      </c>
    </row>
    <row r="82" spans="1:24" x14ac:dyDescent="0.3">
      <c r="A82">
        <v>81</v>
      </c>
      <c r="B82" s="21" t="s">
        <v>5</v>
      </c>
      <c r="C82">
        <v>260</v>
      </c>
      <c r="D82">
        <v>23</v>
      </c>
      <c r="V82" s="13" t="s">
        <v>5</v>
      </c>
      <c r="W82" s="13">
        <v>260</v>
      </c>
      <c r="X82" s="10">
        <v>23</v>
      </c>
    </row>
    <row r="83" spans="1:24" x14ac:dyDescent="0.3">
      <c r="A83">
        <v>82</v>
      </c>
      <c r="B83" s="21" t="s">
        <v>5</v>
      </c>
      <c r="C83">
        <v>215</v>
      </c>
      <c r="D83">
        <v>25</v>
      </c>
      <c r="V83" s="12" t="s">
        <v>5</v>
      </c>
      <c r="W83" s="12">
        <v>215</v>
      </c>
      <c r="X83" s="11">
        <v>25</v>
      </c>
    </row>
    <row r="84" spans="1:24" x14ac:dyDescent="0.3">
      <c r="A84">
        <v>83</v>
      </c>
      <c r="B84" s="21" t="s">
        <v>5</v>
      </c>
      <c r="C84">
        <v>215</v>
      </c>
      <c r="D84">
        <v>19</v>
      </c>
      <c r="V84" s="13" t="s">
        <v>5</v>
      </c>
      <c r="W84" s="13">
        <v>215</v>
      </c>
      <c r="X84" s="10">
        <v>19</v>
      </c>
    </row>
    <row r="85" spans="1:24" x14ac:dyDescent="0.3">
      <c r="A85">
        <v>84</v>
      </c>
      <c r="B85" s="21" t="s">
        <v>5</v>
      </c>
      <c r="C85">
        <v>205</v>
      </c>
      <c r="D85">
        <v>44</v>
      </c>
      <c r="V85" s="12" t="s">
        <v>5</v>
      </c>
      <c r="W85" s="12">
        <v>205</v>
      </c>
      <c r="X85" s="11">
        <v>44</v>
      </c>
    </row>
    <row r="86" spans="1:24" x14ac:dyDescent="0.3">
      <c r="A86">
        <v>85</v>
      </c>
      <c r="B86" s="21" t="s">
        <v>5</v>
      </c>
      <c r="C86">
        <v>215</v>
      </c>
      <c r="D86">
        <v>42</v>
      </c>
      <c r="V86" s="13" t="s">
        <v>5</v>
      </c>
      <c r="W86" s="13">
        <v>215</v>
      </c>
      <c r="X86" s="10">
        <v>42</v>
      </c>
    </row>
    <row r="87" spans="1:24" x14ac:dyDescent="0.3">
      <c r="A87">
        <v>86</v>
      </c>
      <c r="B87" s="21" t="s">
        <v>5</v>
      </c>
      <c r="C87">
        <v>235</v>
      </c>
      <c r="D87">
        <v>33</v>
      </c>
      <c r="V87" s="12" t="s">
        <v>5</v>
      </c>
      <c r="W87" s="12">
        <v>235</v>
      </c>
      <c r="X87" s="11">
        <v>33</v>
      </c>
    </row>
    <row r="88" spans="1:24" x14ac:dyDescent="0.3">
      <c r="A88">
        <v>87</v>
      </c>
      <c r="B88" s="21" t="s">
        <v>5</v>
      </c>
      <c r="C88">
        <v>245</v>
      </c>
      <c r="D88">
        <v>22</v>
      </c>
      <c r="V88" s="13" t="s">
        <v>5</v>
      </c>
      <c r="W88" s="13">
        <v>245</v>
      </c>
      <c r="X88" s="10">
        <v>22</v>
      </c>
    </row>
    <row r="89" spans="1:24" x14ac:dyDescent="0.3">
      <c r="A89">
        <v>88</v>
      </c>
      <c r="B89" s="21" t="s">
        <v>5</v>
      </c>
      <c r="C89">
        <v>225</v>
      </c>
      <c r="D89">
        <v>24</v>
      </c>
      <c r="V89" s="12" t="s">
        <v>5</v>
      </c>
      <c r="W89" s="12">
        <v>225</v>
      </c>
      <c r="X89" s="11">
        <v>24</v>
      </c>
    </row>
    <row r="90" spans="1:24" x14ac:dyDescent="0.3">
      <c r="A90">
        <v>89</v>
      </c>
      <c r="B90" s="21" t="s">
        <v>5</v>
      </c>
      <c r="C90">
        <v>240</v>
      </c>
      <c r="D90">
        <v>45</v>
      </c>
      <c r="V90" s="13" t="s">
        <v>5</v>
      </c>
      <c r="W90" s="13">
        <v>240</v>
      </c>
      <c r="X90" s="10">
        <v>45</v>
      </c>
    </row>
    <row r="91" spans="1:24" x14ac:dyDescent="0.3">
      <c r="A91">
        <v>90</v>
      </c>
      <c r="B91" s="21" t="s">
        <v>5</v>
      </c>
      <c r="C91">
        <v>280</v>
      </c>
      <c r="D91">
        <v>29</v>
      </c>
      <c r="V91" s="12" t="s">
        <v>5</v>
      </c>
      <c r="W91" s="12">
        <v>280</v>
      </c>
      <c r="X91" s="11">
        <v>29</v>
      </c>
    </row>
    <row r="92" spans="1:24" x14ac:dyDescent="0.3">
      <c r="A92">
        <v>91</v>
      </c>
      <c r="B92" s="21" t="s">
        <v>5</v>
      </c>
      <c r="C92">
        <v>295</v>
      </c>
      <c r="D92">
        <v>41</v>
      </c>
      <c r="V92" s="13" t="s">
        <v>5</v>
      </c>
      <c r="W92" s="13">
        <v>295</v>
      </c>
      <c r="X92" s="10">
        <v>41</v>
      </c>
    </row>
    <row r="93" spans="1:24" x14ac:dyDescent="0.3">
      <c r="A93">
        <v>92</v>
      </c>
      <c r="B93" s="21" t="s">
        <v>5</v>
      </c>
      <c r="C93">
        <v>190</v>
      </c>
      <c r="D93">
        <v>14</v>
      </c>
      <c r="V93" s="12" t="s">
        <v>5</v>
      </c>
      <c r="W93" s="12">
        <v>190</v>
      </c>
      <c r="X93" s="11">
        <v>14</v>
      </c>
    </row>
    <row r="94" spans="1:24" x14ac:dyDescent="0.3">
      <c r="A94">
        <v>93</v>
      </c>
      <c r="B94" s="21" t="s">
        <v>5</v>
      </c>
      <c r="C94">
        <v>225</v>
      </c>
      <c r="D94">
        <v>37</v>
      </c>
      <c r="V94" s="13" t="s">
        <v>5</v>
      </c>
      <c r="W94" s="13">
        <v>225</v>
      </c>
      <c r="X94" s="10">
        <v>37</v>
      </c>
    </row>
    <row r="95" spans="1:24" x14ac:dyDescent="0.3">
      <c r="A95">
        <v>94</v>
      </c>
      <c r="B95" s="21" t="s">
        <v>5</v>
      </c>
      <c r="C95">
        <v>220</v>
      </c>
      <c r="D95">
        <v>35</v>
      </c>
      <c r="V95" s="12" t="s">
        <v>5</v>
      </c>
      <c r="W95" s="12">
        <v>220</v>
      </c>
      <c r="X95" s="11">
        <v>35</v>
      </c>
    </row>
    <row r="96" spans="1:24" x14ac:dyDescent="0.3">
      <c r="A96">
        <v>95</v>
      </c>
      <c r="B96" s="21" t="s">
        <v>5</v>
      </c>
      <c r="C96">
        <v>225</v>
      </c>
      <c r="D96">
        <v>20</v>
      </c>
      <c r="V96" s="13" t="s">
        <v>5</v>
      </c>
      <c r="W96" s="13">
        <v>225</v>
      </c>
      <c r="X96" s="10">
        <v>20</v>
      </c>
    </row>
    <row r="97" spans="1:24" x14ac:dyDescent="0.3">
      <c r="A97">
        <v>96</v>
      </c>
      <c r="B97" s="21" t="s">
        <v>5</v>
      </c>
      <c r="C97">
        <v>240</v>
      </c>
      <c r="D97">
        <v>31</v>
      </c>
      <c r="V97" s="12" t="s">
        <v>5</v>
      </c>
      <c r="W97" s="12">
        <v>240</v>
      </c>
      <c r="X97" s="11">
        <v>31</v>
      </c>
    </row>
    <row r="98" spans="1:24" x14ac:dyDescent="0.3">
      <c r="A98">
        <v>97</v>
      </c>
      <c r="B98" s="21" t="s">
        <v>5</v>
      </c>
      <c r="C98">
        <v>255</v>
      </c>
      <c r="D98">
        <v>57</v>
      </c>
      <c r="V98" s="13" t="s">
        <v>5</v>
      </c>
      <c r="W98" s="13">
        <v>255</v>
      </c>
      <c r="X98" s="10">
        <v>57</v>
      </c>
    </row>
    <row r="99" spans="1:24" x14ac:dyDescent="0.3">
      <c r="A99">
        <v>98</v>
      </c>
      <c r="B99" s="21" t="s">
        <v>5</v>
      </c>
      <c r="C99">
        <v>230</v>
      </c>
      <c r="D99">
        <v>17</v>
      </c>
      <c r="V99" s="12" t="s">
        <v>5</v>
      </c>
      <c r="W99" s="12">
        <v>230</v>
      </c>
      <c r="X99" s="11">
        <v>17</v>
      </c>
    </row>
    <row r="100" spans="1:24" x14ac:dyDescent="0.3">
      <c r="A100">
        <v>99</v>
      </c>
      <c r="B100" s="21" t="s">
        <v>5</v>
      </c>
      <c r="C100">
        <v>200</v>
      </c>
      <c r="D100">
        <v>32</v>
      </c>
      <c r="V100" s="13" t="s">
        <v>5</v>
      </c>
      <c r="W100" s="13">
        <v>200</v>
      </c>
      <c r="X100" s="10">
        <v>32</v>
      </c>
    </row>
    <row r="101" spans="1:24" x14ac:dyDescent="0.3">
      <c r="A101">
        <v>100</v>
      </c>
      <c r="B101" s="21" t="s">
        <v>5</v>
      </c>
      <c r="C101">
        <v>225</v>
      </c>
      <c r="D101">
        <v>42</v>
      </c>
      <c r="V101" s="12" t="s">
        <v>5</v>
      </c>
      <c r="W101" s="12">
        <v>225</v>
      </c>
      <c r="X101" s="11">
        <v>42</v>
      </c>
    </row>
    <row r="102" spans="1:24" x14ac:dyDescent="0.3">
      <c r="A102">
        <v>101</v>
      </c>
      <c r="B102" s="21" t="s">
        <v>6</v>
      </c>
      <c r="C102">
        <v>180</v>
      </c>
      <c r="D102">
        <v>20</v>
      </c>
      <c r="V102" s="13" t="s">
        <v>6</v>
      </c>
      <c r="W102" s="13">
        <v>180</v>
      </c>
      <c r="X102" s="10">
        <v>20</v>
      </c>
    </row>
    <row r="103" spans="1:24" x14ac:dyDescent="0.3">
      <c r="A103">
        <v>102</v>
      </c>
      <c r="B103" s="21" t="s">
        <v>6</v>
      </c>
      <c r="C103">
        <v>190</v>
      </c>
      <c r="D103">
        <v>13</v>
      </c>
      <c r="V103" s="12" t="s">
        <v>6</v>
      </c>
      <c r="W103" s="12">
        <v>190</v>
      </c>
      <c r="X103" s="11">
        <v>13</v>
      </c>
    </row>
    <row r="104" spans="1:24" x14ac:dyDescent="0.3">
      <c r="A104">
        <v>103</v>
      </c>
      <c r="B104" s="21" t="s">
        <v>6</v>
      </c>
      <c r="C104">
        <v>200</v>
      </c>
      <c r="D104">
        <v>12</v>
      </c>
      <c r="V104" s="13" t="s">
        <v>6</v>
      </c>
      <c r="W104" s="13">
        <v>200</v>
      </c>
      <c r="X104" s="10">
        <v>12</v>
      </c>
    </row>
    <row r="105" spans="1:24" x14ac:dyDescent="0.3">
      <c r="A105">
        <v>104</v>
      </c>
      <c r="B105" s="21" t="s">
        <v>6</v>
      </c>
      <c r="C105">
        <v>245</v>
      </c>
      <c r="D105">
        <v>21</v>
      </c>
      <c r="V105" s="12" t="s">
        <v>6</v>
      </c>
      <c r="W105" s="12">
        <v>245</v>
      </c>
      <c r="X105" s="11">
        <v>21</v>
      </c>
    </row>
    <row r="106" spans="1:24" x14ac:dyDescent="0.3">
      <c r="A106">
        <v>105</v>
      </c>
      <c r="B106" s="21" t="s">
        <v>6</v>
      </c>
      <c r="C106">
        <v>180</v>
      </c>
      <c r="D106">
        <v>25</v>
      </c>
      <c r="V106" s="13" t="s">
        <v>6</v>
      </c>
      <c r="W106" s="13">
        <v>180</v>
      </c>
      <c r="X106" s="10">
        <v>25</v>
      </c>
    </row>
    <row r="107" spans="1:24" x14ac:dyDescent="0.3">
      <c r="A107">
        <v>106</v>
      </c>
      <c r="B107" s="21" t="s">
        <v>6</v>
      </c>
      <c r="C107">
        <v>175</v>
      </c>
      <c r="D107">
        <v>17</v>
      </c>
      <c r="V107" s="12" t="s">
        <v>6</v>
      </c>
      <c r="W107" s="12">
        <v>175</v>
      </c>
      <c r="X107" s="11">
        <v>17</v>
      </c>
    </row>
    <row r="108" spans="1:24" x14ac:dyDescent="0.3">
      <c r="A108">
        <v>107</v>
      </c>
      <c r="B108" s="21" t="s">
        <v>6</v>
      </c>
      <c r="C108">
        <v>205</v>
      </c>
      <c r="D108">
        <v>14</v>
      </c>
      <c r="V108" s="13" t="s">
        <v>6</v>
      </c>
      <c r="W108" s="13">
        <v>205</v>
      </c>
      <c r="X108" s="10">
        <v>14</v>
      </c>
    </row>
    <row r="109" spans="1:24" x14ac:dyDescent="0.3">
      <c r="A109">
        <v>108</v>
      </c>
      <c r="B109" s="21" t="s">
        <v>6</v>
      </c>
      <c r="C109">
        <v>185</v>
      </c>
      <c r="D109">
        <v>21</v>
      </c>
      <c r="V109" s="12" t="s">
        <v>6</v>
      </c>
      <c r="W109" s="12">
        <v>185</v>
      </c>
      <c r="X109" s="11">
        <v>21</v>
      </c>
    </row>
    <row r="110" spans="1:24" x14ac:dyDescent="0.3">
      <c r="A110">
        <v>109</v>
      </c>
      <c r="B110" s="21" t="s">
        <v>6</v>
      </c>
      <c r="C110">
        <v>215</v>
      </c>
      <c r="D110">
        <v>40</v>
      </c>
      <c r="V110" s="13" t="s">
        <v>6</v>
      </c>
      <c r="W110" s="13">
        <v>215</v>
      </c>
      <c r="X110" s="10">
        <v>40</v>
      </c>
    </row>
    <row r="111" spans="1:24" x14ac:dyDescent="0.3">
      <c r="A111">
        <v>110</v>
      </c>
      <c r="B111" s="21" t="s">
        <v>6</v>
      </c>
      <c r="C111">
        <v>170</v>
      </c>
      <c r="D111">
        <v>21</v>
      </c>
      <c r="V111" s="12" t="s">
        <v>6</v>
      </c>
      <c r="W111" s="12">
        <v>170</v>
      </c>
      <c r="X111" s="11">
        <v>21</v>
      </c>
    </row>
    <row r="112" spans="1:24" x14ac:dyDescent="0.3">
      <c r="A112">
        <v>111</v>
      </c>
      <c r="B112" s="21" t="s">
        <v>6</v>
      </c>
      <c r="C112">
        <v>180</v>
      </c>
      <c r="D112">
        <v>26</v>
      </c>
      <c r="V112" s="13" t="s">
        <v>6</v>
      </c>
      <c r="W112" s="13">
        <v>180</v>
      </c>
      <c r="X112" s="10">
        <v>26</v>
      </c>
    </row>
    <row r="113" spans="1:24" x14ac:dyDescent="0.3">
      <c r="A113">
        <v>112</v>
      </c>
      <c r="B113" s="21" t="s">
        <v>6</v>
      </c>
      <c r="C113">
        <v>175</v>
      </c>
      <c r="D113">
        <v>16</v>
      </c>
      <c r="V113" s="12" t="s">
        <v>6</v>
      </c>
      <c r="W113" s="12">
        <v>175</v>
      </c>
      <c r="X113" s="11">
        <v>16</v>
      </c>
    </row>
    <row r="114" spans="1:24" x14ac:dyDescent="0.3">
      <c r="A114">
        <v>113</v>
      </c>
      <c r="B114" s="21" t="s">
        <v>6</v>
      </c>
      <c r="C114">
        <v>165</v>
      </c>
      <c r="D114">
        <v>22</v>
      </c>
      <c r="V114" s="13" t="s">
        <v>6</v>
      </c>
      <c r="W114" s="13">
        <v>165</v>
      </c>
      <c r="X114" s="10">
        <v>22</v>
      </c>
    </row>
    <row r="115" spans="1:24" x14ac:dyDescent="0.3">
      <c r="A115">
        <v>114</v>
      </c>
      <c r="B115" s="21" t="s">
        <v>6</v>
      </c>
      <c r="C115">
        <v>205</v>
      </c>
      <c r="D115">
        <v>28</v>
      </c>
      <c r="V115" s="12" t="s">
        <v>6</v>
      </c>
      <c r="W115" s="12">
        <v>205</v>
      </c>
      <c r="X115" s="11">
        <v>28</v>
      </c>
    </row>
    <row r="116" spans="1:24" x14ac:dyDescent="0.3">
      <c r="A116">
        <v>115</v>
      </c>
      <c r="B116" s="21" t="s">
        <v>6</v>
      </c>
      <c r="C116">
        <v>170</v>
      </c>
      <c r="D116">
        <v>19</v>
      </c>
      <c r="V116" s="13" t="s">
        <v>6</v>
      </c>
      <c r="W116" s="13">
        <v>170</v>
      </c>
      <c r="X116" s="10">
        <v>19</v>
      </c>
    </row>
    <row r="117" spans="1:24" x14ac:dyDescent="0.3">
      <c r="A117">
        <v>116</v>
      </c>
      <c r="B117" s="21" t="s">
        <v>6</v>
      </c>
      <c r="C117">
        <v>195</v>
      </c>
      <c r="D117">
        <v>27</v>
      </c>
      <c r="V117" s="12" t="s">
        <v>6</v>
      </c>
      <c r="W117" s="12">
        <v>195</v>
      </c>
      <c r="X117" s="11">
        <v>27</v>
      </c>
    </row>
    <row r="118" spans="1:24" x14ac:dyDescent="0.3">
      <c r="A118">
        <v>117</v>
      </c>
      <c r="B118" s="21" t="s">
        <v>6</v>
      </c>
      <c r="C118">
        <v>195</v>
      </c>
      <c r="D118">
        <v>35</v>
      </c>
      <c r="V118" s="13" t="s">
        <v>6</v>
      </c>
      <c r="W118" s="13">
        <v>195</v>
      </c>
      <c r="X118" s="10">
        <v>35</v>
      </c>
    </row>
    <row r="119" spans="1:24" x14ac:dyDescent="0.3">
      <c r="A119">
        <v>118</v>
      </c>
      <c r="B119" s="21" t="s">
        <v>6</v>
      </c>
      <c r="C119">
        <v>190</v>
      </c>
      <c r="D119">
        <v>20</v>
      </c>
      <c r="V119" s="12" t="s">
        <v>6</v>
      </c>
      <c r="W119" s="12">
        <v>190</v>
      </c>
      <c r="X119" s="11">
        <v>20</v>
      </c>
    </row>
    <row r="120" spans="1:24" x14ac:dyDescent="0.3">
      <c r="A120">
        <v>119</v>
      </c>
      <c r="B120" s="21" t="s">
        <v>6</v>
      </c>
      <c r="C120">
        <v>200</v>
      </c>
      <c r="D120">
        <v>21</v>
      </c>
      <c r="V120" s="13" t="s">
        <v>6</v>
      </c>
      <c r="W120" s="13">
        <v>200</v>
      </c>
      <c r="X120" s="10">
        <v>21</v>
      </c>
    </row>
    <row r="121" spans="1:24" x14ac:dyDescent="0.3">
      <c r="A121">
        <v>120</v>
      </c>
      <c r="B121" s="21" t="s">
        <v>6</v>
      </c>
      <c r="C121">
        <v>190</v>
      </c>
      <c r="D121">
        <v>19</v>
      </c>
      <c r="V121" s="12" t="s">
        <v>6</v>
      </c>
      <c r="W121" s="12">
        <v>190</v>
      </c>
      <c r="X121" s="11">
        <v>19</v>
      </c>
    </row>
    <row r="122" spans="1:24" x14ac:dyDescent="0.3">
      <c r="A122">
        <v>121</v>
      </c>
      <c r="B122" s="21" t="s">
        <v>6</v>
      </c>
      <c r="C122">
        <v>160</v>
      </c>
      <c r="D122">
        <v>16</v>
      </c>
      <c r="V122" s="13" t="s">
        <v>6</v>
      </c>
      <c r="W122" s="13">
        <v>160</v>
      </c>
      <c r="X122" s="10">
        <v>16</v>
      </c>
    </row>
    <row r="123" spans="1:24" x14ac:dyDescent="0.3">
      <c r="A123">
        <v>122</v>
      </c>
      <c r="B123" s="21" t="s">
        <v>6</v>
      </c>
      <c r="C123">
        <v>190</v>
      </c>
      <c r="D123">
        <v>14</v>
      </c>
      <c r="V123" s="12" t="s">
        <v>6</v>
      </c>
      <c r="W123" s="12">
        <v>190</v>
      </c>
      <c r="X123" s="11">
        <v>14</v>
      </c>
    </row>
    <row r="124" spans="1:24" x14ac:dyDescent="0.3">
      <c r="A124">
        <v>123</v>
      </c>
      <c r="B124" s="21" t="s">
        <v>6</v>
      </c>
      <c r="C124">
        <v>175</v>
      </c>
      <c r="D124">
        <v>19</v>
      </c>
      <c r="V124" s="13" t="s">
        <v>6</v>
      </c>
      <c r="W124" s="13">
        <v>175</v>
      </c>
      <c r="X124" s="10">
        <v>19</v>
      </c>
    </row>
    <row r="125" spans="1:24" x14ac:dyDescent="0.3">
      <c r="A125">
        <v>124</v>
      </c>
      <c r="B125" s="21" t="s">
        <v>6</v>
      </c>
      <c r="C125">
        <v>185</v>
      </c>
      <c r="D125">
        <v>9</v>
      </c>
      <c r="V125" s="12" t="s">
        <v>6</v>
      </c>
      <c r="W125" s="12">
        <v>185</v>
      </c>
      <c r="X125" s="11">
        <v>9</v>
      </c>
    </row>
    <row r="126" spans="1:24" x14ac:dyDescent="0.3">
      <c r="A126">
        <v>125</v>
      </c>
      <c r="B126" s="21" t="s">
        <v>6</v>
      </c>
      <c r="C126">
        <v>180</v>
      </c>
      <c r="D126">
        <v>26</v>
      </c>
      <c r="V126" s="13" t="s">
        <v>6</v>
      </c>
      <c r="W126" s="13">
        <v>180</v>
      </c>
      <c r="X126" s="10">
        <v>26</v>
      </c>
    </row>
    <row r="127" spans="1:24" x14ac:dyDescent="0.3">
      <c r="A127">
        <v>126</v>
      </c>
      <c r="B127" s="21" t="s">
        <v>6</v>
      </c>
      <c r="C127">
        <v>175</v>
      </c>
      <c r="D127">
        <v>19</v>
      </c>
      <c r="V127" s="12" t="s">
        <v>6</v>
      </c>
      <c r="W127" s="12">
        <v>175</v>
      </c>
      <c r="X127" s="11">
        <v>19</v>
      </c>
    </row>
    <row r="128" spans="1:24" x14ac:dyDescent="0.3">
      <c r="A128">
        <v>127</v>
      </c>
      <c r="B128" s="21" t="s">
        <v>6</v>
      </c>
      <c r="C128">
        <v>210</v>
      </c>
      <c r="D128">
        <v>33</v>
      </c>
      <c r="V128" s="13" t="s">
        <v>6</v>
      </c>
      <c r="W128" s="13">
        <v>210</v>
      </c>
      <c r="X128" s="10">
        <v>33</v>
      </c>
    </row>
    <row r="129" spans="1:24" x14ac:dyDescent="0.3">
      <c r="A129">
        <v>128</v>
      </c>
      <c r="B129" s="21" t="s">
        <v>6</v>
      </c>
      <c r="C129">
        <v>190</v>
      </c>
      <c r="D129">
        <v>25</v>
      </c>
      <c r="V129" s="12" t="s">
        <v>6</v>
      </c>
      <c r="W129" s="12">
        <v>190</v>
      </c>
      <c r="X129" s="11">
        <v>25</v>
      </c>
    </row>
    <row r="130" spans="1:24" x14ac:dyDescent="0.3">
      <c r="A130">
        <v>129</v>
      </c>
      <c r="B130" s="21" t="s">
        <v>6</v>
      </c>
      <c r="C130">
        <v>175</v>
      </c>
      <c r="D130">
        <v>25</v>
      </c>
      <c r="V130" s="13" t="s">
        <v>6</v>
      </c>
      <c r="W130" s="13">
        <v>175</v>
      </c>
      <c r="X130" s="10">
        <v>25</v>
      </c>
    </row>
    <row r="131" spans="1:24" x14ac:dyDescent="0.3">
      <c r="A131">
        <v>130</v>
      </c>
      <c r="B131" s="21" t="s">
        <v>6</v>
      </c>
      <c r="C131">
        <v>190</v>
      </c>
      <c r="D131">
        <v>21</v>
      </c>
      <c r="V131" s="12" t="s">
        <v>6</v>
      </c>
      <c r="W131" s="12">
        <v>190</v>
      </c>
      <c r="X131" s="11">
        <v>21</v>
      </c>
    </row>
    <row r="132" spans="1:24" x14ac:dyDescent="0.3">
      <c r="A132">
        <v>131</v>
      </c>
      <c r="B132" s="21" t="s">
        <v>6</v>
      </c>
      <c r="C132">
        <v>170</v>
      </c>
      <c r="D132">
        <v>25</v>
      </c>
      <c r="V132" s="13" t="s">
        <v>6</v>
      </c>
      <c r="W132" s="13">
        <v>170</v>
      </c>
      <c r="X132" s="10">
        <v>25</v>
      </c>
    </row>
    <row r="133" spans="1:24" x14ac:dyDescent="0.3">
      <c r="A133">
        <v>132</v>
      </c>
      <c r="B133" s="21" t="s">
        <v>6</v>
      </c>
      <c r="C133">
        <v>175</v>
      </c>
      <c r="D133">
        <v>21</v>
      </c>
      <c r="V133" s="12" t="s">
        <v>6</v>
      </c>
      <c r="W133" s="12">
        <v>175</v>
      </c>
      <c r="X133" s="11">
        <v>21</v>
      </c>
    </row>
    <row r="134" spans="1:24" x14ac:dyDescent="0.3">
      <c r="A134">
        <v>133</v>
      </c>
      <c r="B134" s="21" t="s">
        <v>6</v>
      </c>
      <c r="C134">
        <v>170</v>
      </c>
      <c r="D134">
        <v>21</v>
      </c>
      <c r="V134" s="13" t="s">
        <v>6</v>
      </c>
      <c r="W134" s="13">
        <v>170</v>
      </c>
      <c r="X134" s="10">
        <v>21</v>
      </c>
    </row>
    <row r="135" spans="1:24" x14ac:dyDescent="0.3">
      <c r="A135">
        <v>134</v>
      </c>
      <c r="B135" s="21" t="s">
        <v>6</v>
      </c>
      <c r="C135">
        <v>175</v>
      </c>
      <c r="D135">
        <v>33</v>
      </c>
      <c r="V135" s="12" t="s">
        <v>6</v>
      </c>
      <c r="W135" s="12">
        <v>175</v>
      </c>
      <c r="X135" s="11">
        <v>33</v>
      </c>
    </row>
    <row r="136" spans="1:24" x14ac:dyDescent="0.3">
      <c r="A136">
        <v>135</v>
      </c>
      <c r="B136" s="21" t="s">
        <v>6</v>
      </c>
      <c r="C136">
        <v>180</v>
      </c>
      <c r="D136">
        <v>22</v>
      </c>
      <c r="V136" s="13" t="s">
        <v>6</v>
      </c>
      <c r="W136" s="13">
        <v>180</v>
      </c>
      <c r="X136" s="10">
        <v>22</v>
      </c>
    </row>
    <row r="137" spans="1:24" x14ac:dyDescent="0.3">
      <c r="A137">
        <v>136</v>
      </c>
      <c r="B137" s="21" t="s">
        <v>6</v>
      </c>
      <c r="C137">
        <v>220</v>
      </c>
      <c r="D137">
        <v>29</v>
      </c>
      <c r="V137" s="12" t="s">
        <v>6</v>
      </c>
      <c r="W137" s="12">
        <v>220</v>
      </c>
      <c r="X137" s="11">
        <v>29</v>
      </c>
    </row>
    <row r="138" spans="1:24" x14ac:dyDescent="0.3">
      <c r="A138">
        <v>137</v>
      </c>
      <c r="B138" s="21" t="s">
        <v>6</v>
      </c>
      <c r="C138">
        <v>160</v>
      </c>
      <c r="D138">
        <v>17</v>
      </c>
      <c r="V138" s="13" t="s">
        <v>6</v>
      </c>
      <c r="W138" s="13">
        <v>160</v>
      </c>
      <c r="X138" s="10">
        <v>17</v>
      </c>
    </row>
    <row r="139" spans="1:24" x14ac:dyDescent="0.3">
      <c r="A139">
        <v>138</v>
      </c>
      <c r="B139" s="21" t="s">
        <v>6</v>
      </c>
      <c r="C139">
        <v>175</v>
      </c>
      <c r="D139">
        <v>17</v>
      </c>
      <c r="V139" s="12" t="s">
        <v>6</v>
      </c>
      <c r="W139" s="12">
        <v>175</v>
      </c>
      <c r="X139" s="11">
        <v>17</v>
      </c>
    </row>
    <row r="140" spans="1:24" x14ac:dyDescent="0.3">
      <c r="A140">
        <v>139</v>
      </c>
      <c r="B140" s="21" t="s">
        <v>6</v>
      </c>
      <c r="C140">
        <v>185</v>
      </c>
      <c r="D140">
        <v>29</v>
      </c>
      <c r="V140" s="13" t="s">
        <v>6</v>
      </c>
      <c r="W140" s="13">
        <v>185</v>
      </c>
      <c r="X140" s="10">
        <v>29</v>
      </c>
    </row>
    <row r="141" spans="1:24" x14ac:dyDescent="0.3">
      <c r="A141">
        <v>140</v>
      </c>
      <c r="B141" s="21" t="s">
        <v>6</v>
      </c>
      <c r="C141">
        <v>220</v>
      </c>
      <c r="D141">
        <v>33</v>
      </c>
      <c r="V141" s="12" t="s">
        <v>6</v>
      </c>
      <c r="W141" s="12">
        <v>220</v>
      </c>
      <c r="X141" s="11">
        <v>33</v>
      </c>
    </row>
    <row r="142" spans="1:24" x14ac:dyDescent="0.3">
      <c r="A142">
        <v>141</v>
      </c>
      <c r="B142" s="21" t="s">
        <v>6</v>
      </c>
      <c r="C142">
        <v>195</v>
      </c>
      <c r="D142">
        <v>30</v>
      </c>
      <c r="V142" s="13" t="s">
        <v>6</v>
      </c>
      <c r="W142" s="13">
        <v>195</v>
      </c>
      <c r="X142" s="10">
        <v>30</v>
      </c>
    </row>
    <row r="143" spans="1:24" x14ac:dyDescent="0.3">
      <c r="A143">
        <v>142</v>
      </c>
      <c r="B143" s="21" t="s">
        <v>6</v>
      </c>
      <c r="C143">
        <v>180</v>
      </c>
      <c r="D143">
        <v>18</v>
      </c>
      <c r="V143" s="12" t="s">
        <v>6</v>
      </c>
      <c r="W143" s="12">
        <v>180</v>
      </c>
      <c r="X143" s="11">
        <v>18</v>
      </c>
    </row>
    <row r="144" spans="1:24" x14ac:dyDescent="0.3">
      <c r="A144">
        <v>143</v>
      </c>
      <c r="B144" s="21" t="s">
        <v>6</v>
      </c>
      <c r="C144">
        <v>210</v>
      </c>
      <c r="D144">
        <v>26</v>
      </c>
      <c r="V144" s="13" t="s">
        <v>6</v>
      </c>
      <c r="W144" s="13">
        <v>210</v>
      </c>
      <c r="X144" s="10">
        <v>26</v>
      </c>
    </row>
    <row r="145" spans="1:24" x14ac:dyDescent="0.3">
      <c r="A145">
        <v>144</v>
      </c>
      <c r="B145" s="21" t="s">
        <v>6</v>
      </c>
      <c r="C145">
        <v>205</v>
      </c>
      <c r="D145">
        <v>41</v>
      </c>
      <c r="V145" s="12" t="s">
        <v>6</v>
      </c>
      <c r="W145" s="12">
        <v>205</v>
      </c>
      <c r="X145" s="11">
        <v>41</v>
      </c>
    </row>
    <row r="146" spans="1:24" x14ac:dyDescent="0.3">
      <c r="A146">
        <v>145</v>
      </c>
      <c r="B146" s="21" t="s">
        <v>6</v>
      </c>
      <c r="C146">
        <v>155</v>
      </c>
      <c r="D146">
        <v>32</v>
      </c>
      <c r="V146" s="13" t="s">
        <v>6</v>
      </c>
      <c r="W146" s="13">
        <v>155</v>
      </c>
      <c r="X146" s="10">
        <v>32</v>
      </c>
    </row>
    <row r="147" spans="1:24" x14ac:dyDescent="0.3">
      <c r="A147">
        <v>146</v>
      </c>
      <c r="B147" s="21" t="s">
        <v>6</v>
      </c>
      <c r="C147">
        <v>180</v>
      </c>
      <c r="D147">
        <v>16</v>
      </c>
      <c r="V147" s="12" t="s">
        <v>6</v>
      </c>
      <c r="W147" s="12">
        <v>180</v>
      </c>
      <c r="X147" s="11">
        <v>16</v>
      </c>
    </row>
    <row r="148" spans="1:24" x14ac:dyDescent="0.3">
      <c r="A148">
        <v>147</v>
      </c>
      <c r="B148" s="21" t="s">
        <v>6</v>
      </c>
      <c r="C148">
        <v>175</v>
      </c>
      <c r="D148">
        <v>20</v>
      </c>
      <c r="V148" s="13" t="s">
        <v>6</v>
      </c>
      <c r="W148" s="13">
        <v>175</v>
      </c>
      <c r="X148" s="10">
        <v>20</v>
      </c>
    </row>
    <row r="149" spans="1:24" x14ac:dyDescent="0.3">
      <c r="A149">
        <v>148</v>
      </c>
      <c r="B149" s="21" t="s">
        <v>6</v>
      </c>
      <c r="C149">
        <v>165</v>
      </c>
      <c r="D149">
        <v>20</v>
      </c>
      <c r="V149" s="12" t="s">
        <v>6</v>
      </c>
      <c r="W149" s="12">
        <v>165</v>
      </c>
      <c r="X149" s="11">
        <v>20</v>
      </c>
    </row>
    <row r="150" spans="1:24" x14ac:dyDescent="0.3">
      <c r="A150">
        <v>149</v>
      </c>
      <c r="B150" s="21" t="s">
        <v>6</v>
      </c>
      <c r="C150">
        <v>195</v>
      </c>
      <c r="D150">
        <v>17</v>
      </c>
      <c r="V150" s="13" t="s">
        <v>6</v>
      </c>
      <c r="W150" s="13">
        <v>195</v>
      </c>
      <c r="X150" s="10">
        <v>17</v>
      </c>
    </row>
    <row r="151" spans="1:24" x14ac:dyDescent="0.3">
      <c r="A151">
        <v>150</v>
      </c>
      <c r="B151" s="21" t="s">
        <v>6</v>
      </c>
      <c r="C151">
        <v>195</v>
      </c>
      <c r="D151">
        <v>15</v>
      </c>
      <c r="V151" s="12" t="s">
        <v>6</v>
      </c>
      <c r="W151" s="12">
        <v>195</v>
      </c>
      <c r="X151" s="11">
        <v>15</v>
      </c>
    </row>
  </sheetData>
  <sheetProtection algorithmName="SHA-512" hashValue="9LZ2ZT2gLAckRLtazmfLDqJK2sQj4vPBLTs6uTdWueTbQTW8aXZohL4AruphWFVTiFIhNntNuBr0scleZ6K8Wg==" saltValue="z1vekZlMBQS/n5UBfRpxgQ==" spinCount="100000" sheet="1" objects="1" scenarios="1" selectLockedCells="1" selectUnlockedCells="1"/>
  <mergeCells count="2">
    <mergeCell ref="K31:L31"/>
    <mergeCell ref="H31:I31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8546F-C15F-4221-B175-35B694F10709}">
  <dimension ref="A2:R91"/>
  <sheetViews>
    <sheetView tabSelected="1" topLeftCell="B30" zoomScale="88" workbookViewId="0">
      <selection activeCell="L42" sqref="L42"/>
    </sheetView>
  </sheetViews>
  <sheetFormatPr defaultRowHeight="14.4" x14ac:dyDescent="0.3"/>
  <cols>
    <col min="3" max="3" width="16.88671875" bestFit="1" customWidth="1"/>
    <col min="4" max="4" width="12.6640625" bestFit="1" customWidth="1"/>
    <col min="6" max="6" width="16.109375" bestFit="1" customWidth="1"/>
    <col min="7" max="7" width="12.6640625" bestFit="1" customWidth="1"/>
    <col min="8" max="8" width="11.21875" bestFit="1" customWidth="1"/>
    <col min="9" max="9" width="12" bestFit="1" customWidth="1"/>
    <col min="10" max="10" width="13.6640625" bestFit="1" customWidth="1"/>
    <col min="11" max="11" width="23.33203125" bestFit="1" customWidth="1"/>
    <col min="12" max="12" width="11.21875" bestFit="1" customWidth="1"/>
    <col min="13" max="13" width="10" bestFit="1" customWidth="1"/>
    <col min="15" max="15" width="10.77734375" bestFit="1" customWidth="1"/>
    <col min="16" max="16" width="14.109375" bestFit="1" customWidth="1"/>
    <col min="17" max="17" width="11.21875" bestFit="1" customWidth="1"/>
    <col min="18" max="18" width="10" bestFit="1" customWidth="1"/>
  </cols>
  <sheetData>
    <row r="2" spans="1:17" x14ac:dyDescent="0.3">
      <c r="A2" s="22" t="s">
        <v>74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4" spans="1:17" x14ac:dyDescent="0.3">
      <c r="C4" s="19" t="s">
        <v>23</v>
      </c>
      <c r="D4" s="20"/>
    </row>
    <row r="5" spans="1:17" x14ac:dyDescent="0.3">
      <c r="C5" s="3" t="s">
        <v>0</v>
      </c>
      <c r="D5" s="3" t="s">
        <v>24</v>
      </c>
    </row>
    <row r="6" spans="1:17" x14ac:dyDescent="0.3">
      <c r="C6" s="3" t="s">
        <v>1</v>
      </c>
      <c r="D6" s="3" t="s">
        <v>25</v>
      </c>
    </row>
    <row r="7" spans="1:17" x14ac:dyDescent="0.3">
      <c r="C7" s="3" t="s">
        <v>2</v>
      </c>
      <c r="D7" s="3" t="s">
        <v>24</v>
      </c>
    </row>
    <row r="8" spans="1:17" x14ac:dyDescent="0.3">
      <c r="C8" s="3" t="s">
        <v>3</v>
      </c>
      <c r="D8" s="3" t="s">
        <v>24</v>
      </c>
    </row>
    <row r="10" spans="1:17" ht="15" thickBot="1" x14ac:dyDescent="0.35"/>
    <row r="11" spans="1:17" x14ac:dyDescent="0.3">
      <c r="C11" s="2" t="s">
        <v>2</v>
      </c>
      <c r="D11" s="2"/>
      <c r="F11" s="2" t="s">
        <v>3</v>
      </c>
      <c r="G11" s="2"/>
      <c r="J11" t="s">
        <v>43</v>
      </c>
    </row>
    <row r="12" spans="1:17" x14ac:dyDescent="0.3">
      <c r="J12" s="7" t="s">
        <v>30</v>
      </c>
      <c r="K12" t="s">
        <v>36</v>
      </c>
      <c r="L12" t="s">
        <v>40</v>
      </c>
      <c r="M12" t="s">
        <v>37</v>
      </c>
      <c r="N12" t="s">
        <v>33</v>
      </c>
      <c r="O12" t="s">
        <v>38</v>
      </c>
      <c r="P12" t="s">
        <v>39</v>
      </c>
    </row>
    <row r="13" spans="1:17" x14ac:dyDescent="0.3">
      <c r="C13" t="s">
        <v>7</v>
      </c>
      <c r="D13">
        <v>254.06666666666666</v>
      </c>
      <c r="F13" t="s">
        <v>7</v>
      </c>
      <c r="G13">
        <v>44.24</v>
      </c>
      <c r="J13" s="8" t="s">
        <v>4</v>
      </c>
      <c r="K13">
        <v>16195</v>
      </c>
      <c r="L13">
        <v>50</v>
      </c>
      <c r="M13">
        <v>323.89999999999998</v>
      </c>
      <c r="N13">
        <v>380</v>
      </c>
      <c r="O13">
        <v>250</v>
      </c>
      <c r="P13">
        <v>38.402938875634433</v>
      </c>
    </row>
    <row r="14" spans="1:17" x14ac:dyDescent="0.3">
      <c r="C14" t="s">
        <v>8</v>
      </c>
      <c r="D14">
        <v>5.3303375254968275</v>
      </c>
      <c r="F14" t="s">
        <v>8</v>
      </c>
      <c r="G14">
        <v>1.9782187545152543</v>
      </c>
      <c r="J14" s="8" t="s">
        <v>6</v>
      </c>
      <c r="K14">
        <v>9325</v>
      </c>
      <c r="L14">
        <v>50</v>
      </c>
      <c r="M14">
        <v>186.5</v>
      </c>
      <c r="N14">
        <v>245</v>
      </c>
      <c r="O14">
        <v>155</v>
      </c>
      <c r="P14">
        <v>17.677669529663689</v>
      </c>
    </row>
    <row r="15" spans="1:17" x14ac:dyDescent="0.3">
      <c r="C15" t="s">
        <v>9</v>
      </c>
      <c r="D15">
        <v>247.5</v>
      </c>
      <c r="F15" t="s">
        <v>9</v>
      </c>
      <c r="G15">
        <v>38</v>
      </c>
      <c r="J15" s="8" t="s">
        <v>5</v>
      </c>
      <c r="K15">
        <v>12590</v>
      </c>
      <c r="L15">
        <v>50</v>
      </c>
      <c r="M15">
        <v>251.8</v>
      </c>
      <c r="N15">
        <v>355</v>
      </c>
      <c r="O15">
        <v>190</v>
      </c>
      <c r="P15">
        <v>39.14598527646617</v>
      </c>
    </row>
    <row r="16" spans="1:17" x14ac:dyDescent="0.3">
      <c r="C16" t="s">
        <v>10</v>
      </c>
      <c r="D16">
        <v>355</v>
      </c>
      <c r="F16" t="s">
        <v>10</v>
      </c>
      <c r="G16">
        <v>21</v>
      </c>
    </row>
    <row r="17" spans="3:18" x14ac:dyDescent="0.3">
      <c r="C17" t="s">
        <v>11</v>
      </c>
      <c r="D17">
        <v>65.283035471383727</v>
      </c>
      <c r="F17" t="s">
        <v>11</v>
      </c>
      <c r="G17">
        <v>24.228132740832145</v>
      </c>
      <c r="J17" s="8" t="s">
        <v>44</v>
      </c>
    </row>
    <row r="18" spans="3:18" x14ac:dyDescent="0.3">
      <c r="C18" t="s">
        <v>12</v>
      </c>
      <c r="D18">
        <v>4261.874720357946</v>
      </c>
      <c r="F18" t="s">
        <v>12</v>
      </c>
      <c r="G18">
        <v>587.00241610738249</v>
      </c>
      <c r="J18" s="7" t="s">
        <v>30</v>
      </c>
      <c r="K18" s="7" t="s">
        <v>36</v>
      </c>
      <c r="L18" t="s">
        <v>41</v>
      </c>
      <c r="M18" t="s">
        <v>42</v>
      </c>
      <c r="N18" t="s">
        <v>33</v>
      </c>
      <c r="O18" t="s">
        <v>32</v>
      </c>
      <c r="P18" t="s">
        <v>39</v>
      </c>
    </row>
    <row r="19" spans="3:18" x14ac:dyDescent="0.3">
      <c r="C19" t="s">
        <v>13</v>
      </c>
      <c r="D19">
        <v>-1.1419921217039777</v>
      </c>
      <c r="F19" t="s">
        <v>13</v>
      </c>
      <c r="G19">
        <v>-0.87170446094811549</v>
      </c>
      <c r="J19" s="8" t="s">
        <v>4</v>
      </c>
      <c r="K19">
        <v>3373</v>
      </c>
      <c r="L19">
        <v>50</v>
      </c>
      <c r="M19">
        <v>67.459999999999994</v>
      </c>
      <c r="N19">
        <v>97</v>
      </c>
      <c r="O19">
        <v>30</v>
      </c>
      <c r="P19">
        <v>19.171843725545411</v>
      </c>
    </row>
    <row r="20" spans="3:18" x14ac:dyDescent="0.3">
      <c r="C20" t="s">
        <v>14</v>
      </c>
      <c r="D20">
        <v>0.35309977845795898</v>
      </c>
      <c r="F20" t="s">
        <v>14</v>
      </c>
      <c r="G20">
        <v>0.58310354483159099</v>
      </c>
      <c r="J20" s="8" t="s">
        <v>6</v>
      </c>
      <c r="K20">
        <v>1126</v>
      </c>
      <c r="L20">
        <v>50</v>
      </c>
      <c r="M20">
        <v>22.52</v>
      </c>
      <c r="N20">
        <v>41</v>
      </c>
      <c r="O20">
        <v>9</v>
      </c>
      <c r="P20">
        <v>7.0283391366956787</v>
      </c>
    </row>
    <row r="21" spans="3:18" x14ac:dyDescent="0.3">
      <c r="C21" t="s">
        <v>15</v>
      </c>
      <c r="D21">
        <v>225</v>
      </c>
      <c r="F21" t="s">
        <v>15</v>
      </c>
      <c r="G21">
        <v>88</v>
      </c>
      <c r="J21" s="8" t="s">
        <v>5</v>
      </c>
      <c r="K21">
        <v>2137</v>
      </c>
      <c r="L21">
        <v>50</v>
      </c>
      <c r="M21">
        <v>42.74</v>
      </c>
      <c r="N21">
        <v>90</v>
      </c>
      <c r="O21">
        <v>14</v>
      </c>
      <c r="P21">
        <v>18.279920957271166</v>
      </c>
    </row>
    <row r="22" spans="3:18" x14ac:dyDescent="0.3">
      <c r="C22" t="s">
        <v>16</v>
      </c>
      <c r="D22">
        <v>155</v>
      </c>
      <c r="F22" t="s">
        <v>16</v>
      </c>
      <c r="G22">
        <v>9</v>
      </c>
    </row>
    <row r="23" spans="3:18" x14ac:dyDescent="0.3">
      <c r="C23" t="s">
        <v>17</v>
      </c>
      <c r="D23">
        <v>380</v>
      </c>
      <c r="F23" t="s">
        <v>17</v>
      </c>
      <c r="G23">
        <v>97</v>
      </c>
      <c r="J23" s="8" t="s">
        <v>43</v>
      </c>
      <c r="O23" t="s">
        <v>44</v>
      </c>
    </row>
    <row r="24" spans="3:18" x14ac:dyDescent="0.3">
      <c r="C24" t="s">
        <v>18</v>
      </c>
      <c r="D24">
        <v>38110</v>
      </c>
      <c r="F24" t="s">
        <v>18</v>
      </c>
      <c r="G24">
        <v>6636</v>
      </c>
      <c r="J24" s="5" t="s">
        <v>31</v>
      </c>
      <c r="K24" s="5" t="s">
        <v>4</v>
      </c>
      <c r="L24" s="5" t="s">
        <v>5</v>
      </c>
      <c r="M24" s="5" t="s">
        <v>6</v>
      </c>
      <c r="O24" s="5" t="s">
        <v>31</v>
      </c>
      <c r="P24" s="5" t="s">
        <v>4</v>
      </c>
      <c r="Q24" s="5" t="s">
        <v>5</v>
      </c>
      <c r="R24" s="5" t="s">
        <v>6</v>
      </c>
    </row>
    <row r="25" spans="3:18" ht="15" thickBot="1" x14ac:dyDescent="0.35">
      <c r="C25" s="1" t="s">
        <v>19</v>
      </c>
      <c r="D25" s="1">
        <v>150</v>
      </c>
      <c r="F25" s="1" t="s">
        <v>19</v>
      </c>
      <c r="G25" s="1">
        <v>150</v>
      </c>
      <c r="J25" s="5" t="s">
        <v>34</v>
      </c>
      <c r="K25" s="5">
        <f>PERCENTILE(Bank!C2:C51,0.25)</f>
        <v>295</v>
      </c>
      <c r="L25" s="5">
        <f>PERCENTILE(Bank!C52:C101,0.25)</f>
        <v>225</v>
      </c>
      <c r="M25" s="5">
        <f>PERCENTILE(Bank!C102:C151,0.25)</f>
        <v>175</v>
      </c>
      <c r="O25" s="5" t="s">
        <v>34</v>
      </c>
      <c r="P25" s="4">
        <f>PERCENTILE(Bank!D2:D51,0.25)</f>
        <v>50</v>
      </c>
      <c r="Q25" s="4">
        <f>PERCENTILE(Bank!D52:D101,0.25)</f>
        <v>31</v>
      </c>
      <c r="R25" s="4">
        <f>PERCENTILE(Bank!D102:D151,0.25)</f>
        <v>17.25</v>
      </c>
    </row>
    <row r="26" spans="3:18" x14ac:dyDescent="0.3">
      <c r="J26" s="5" t="s">
        <v>45</v>
      </c>
      <c r="K26" s="5">
        <f>PERCENTILE(Bank!C2:C51,0.5)</f>
        <v>337.5</v>
      </c>
      <c r="L26" s="5">
        <f>PERCENTILE(Bank!C52:C101,0.5)</f>
        <v>247.5</v>
      </c>
      <c r="M26" s="5">
        <f>PERCENTILE(Bank!C102:C151,0.5)</f>
        <v>182.5</v>
      </c>
      <c r="O26" s="5" t="s">
        <v>45</v>
      </c>
      <c r="P26" s="4">
        <f>PERCENTILE(Bank!D2:D51,0.5)</f>
        <v>70</v>
      </c>
      <c r="Q26" s="4">
        <f>PERCENTILE(Bank!D52:D101,0.5)</f>
        <v>41.5</v>
      </c>
      <c r="R26" s="4">
        <f>PERCENTILE(Bank!D102:D151,0.5)</f>
        <v>21</v>
      </c>
    </row>
    <row r="27" spans="3:18" x14ac:dyDescent="0.3">
      <c r="J27" s="5" t="s">
        <v>35</v>
      </c>
      <c r="K27" s="5">
        <f>PERCENTILE(Bank!C2:C51,0.75)</f>
        <v>355</v>
      </c>
      <c r="L27" s="5">
        <f>PERCENTILE(Bank!C52:C101,0.75)</f>
        <v>278.75</v>
      </c>
      <c r="M27" s="5">
        <f>PERCENTILE(Bank!C102:C151,0.75)</f>
        <v>195</v>
      </c>
      <c r="O27" s="5" t="s">
        <v>35</v>
      </c>
      <c r="P27" s="4">
        <f>PERCENTILE(Bank!D2:D51,0.75)</f>
        <v>83</v>
      </c>
      <c r="Q27" s="4">
        <f>PERCENTILE(Bank!D52:D101,0.75)</f>
        <v>53.5</v>
      </c>
      <c r="R27" s="4">
        <f>PERCENTILE(Bank!D102:D151,0.75)</f>
        <v>26</v>
      </c>
    </row>
    <row r="28" spans="3:18" x14ac:dyDescent="0.3">
      <c r="J28" s="5" t="s">
        <v>46</v>
      </c>
      <c r="K28" s="5">
        <f>K27-K25</f>
        <v>60</v>
      </c>
      <c r="L28" s="5">
        <f>L27-L25</f>
        <v>53.75</v>
      </c>
      <c r="M28" s="5">
        <f>M27-M25</f>
        <v>20</v>
      </c>
      <c r="O28" s="5" t="s">
        <v>46</v>
      </c>
      <c r="P28" s="4">
        <f>P27-P25</f>
        <v>33</v>
      </c>
      <c r="Q28" s="4">
        <f>Q27-Q25</f>
        <v>22.5</v>
      </c>
      <c r="R28" s="4">
        <f>R27-R25</f>
        <v>8.75</v>
      </c>
    </row>
    <row r="31" spans="3:18" x14ac:dyDescent="0.3">
      <c r="C31" t="s">
        <v>26</v>
      </c>
    </row>
    <row r="32" spans="3:18" x14ac:dyDescent="0.3">
      <c r="C32" t="s">
        <v>48</v>
      </c>
    </row>
    <row r="34" spans="3:13" ht="15" thickBot="1" x14ac:dyDescent="0.35">
      <c r="C34" t="s">
        <v>49</v>
      </c>
      <c r="K34" t="s">
        <v>63</v>
      </c>
    </row>
    <row r="35" spans="3:13" x14ac:dyDescent="0.3">
      <c r="C35" s="15" t="s">
        <v>50</v>
      </c>
      <c r="D35" s="15" t="s">
        <v>19</v>
      </c>
      <c r="E35" s="15" t="s">
        <v>18</v>
      </c>
      <c r="F35" s="15" t="s">
        <v>51</v>
      </c>
      <c r="G35" s="15" t="s">
        <v>52</v>
      </c>
      <c r="K35" s="17" t="s">
        <v>64</v>
      </c>
      <c r="L35" s="17" t="s">
        <v>68</v>
      </c>
      <c r="M35" s="17" t="s">
        <v>70</v>
      </c>
    </row>
    <row r="36" spans="3:13" x14ac:dyDescent="0.3">
      <c r="C36" t="s">
        <v>4</v>
      </c>
      <c r="D36">
        <v>50</v>
      </c>
      <c r="E36">
        <v>16195</v>
      </c>
      <c r="F36">
        <v>323.89999999999998</v>
      </c>
      <c r="G36">
        <v>1474.7857142857142</v>
      </c>
      <c r="K36" s="5" t="s">
        <v>65</v>
      </c>
      <c r="L36" s="5">
        <f>TTEST(Bank!N2:N51,Bank!O2:O51,2,2)</f>
        <v>4.0644335518426866E-15</v>
      </c>
      <c r="M36" s="5" t="str">
        <f>IF(L36&lt;=Result!$L$41,"Significant","Insignificant")</f>
        <v>Significant</v>
      </c>
    </row>
    <row r="37" spans="3:13" x14ac:dyDescent="0.3">
      <c r="C37" t="s">
        <v>5</v>
      </c>
      <c r="D37">
        <v>50</v>
      </c>
      <c r="E37">
        <v>12590</v>
      </c>
      <c r="F37">
        <v>251.8</v>
      </c>
      <c r="G37">
        <v>1532.408163265306</v>
      </c>
      <c r="K37" s="5" t="s">
        <v>66</v>
      </c>
      <c r="L37" s="5">
        <f>TTEST(Bank!O2:O51,Bank!P2:P51,2,2)</f>
        <v>2.8720448660923595E-18</v>
      </c>
      <c r="M37" s="5" t="str">
        <f>IF(L37&lt;=Result!$L$41,"Significant","Insignificant")</f>
        <v>Significant</v>
      </c>
    </row>
    <row r="38" spans="3:13" ht="15" thickBot="1" x14ac:dyDescent="0.35">
      <c r="C38" s="1" t="s">
        <v>6</v>
      </c>
      <c r="D38" s="1">
        <v>50</v>
      </c>
      <c r="E38" s="1">
        <v>9325</v>
      </c>
      <c r="F38" s="1">
        <v>186.5</v>
      </c>
      <c r="G38" s="1">
        <v>312.5</v>
      </c>
      <c r="K38" s="5" t="s">
        <v>67</v>
      </c>
      <c r="L38" s="5">
        <f>TTEST(Bank!N2:N51,Bank!P2:P51,2,2)</f>
        <v>2.9822031811060792E-41</v>
      </c>
      <c r="M38" s="5" t="str">
        <f>IF(L38&lt;=Result!$L$41,"Significant","Insignificant")</f>
        <v>Significant</v>
      </c>
    </row>
    <row r="40" spans="3:13" x14ac:dyDescent="0.3">
      <c r="K40" t="s">
        <v>69</v>
      </c>
      <c r="L40">
        <v>5.0000000000000001E-3</v>
      </c>
    </row>
    <row r="41" spans="3:13" ht="15" thickBot="1" x14ac:dyDescent="0.35">
      <c r="C41" t="s">
        <v>53</v>
      </c>
      <c r="L41">
        <f>L40/3</f>
        <v>1.6666666666666668E-3</v>
      </c>
    </row>
    <row r="42" spans="3:13" x14ac:dyDescent="0.3">
      <c r="C42" s="15" t="s">
        <v>54</v>
      </c>
      <c r="D42" s="15" t="s">
        <v>55</v>
      </c>
      <c r="E42" s="15" t="s">
        <v>56</v>
      </c>
      <c r="F42" s="15" t="s">
        <v>57</v>
      </c>
      <c r="G42" s="15" t="s">
        <v>58</v>
      </c>
      <c r="H42" s="15" t="s">
        <v>59</v>
      </c>
      <c r="I42" s="15" t="s">
        <v>60</v>
      </c>
    </row>
    <row r="43" spans="3:13" x14ac:dyDescent="0.3">
      <c r="C43" t="s">
        <v>61</v>
      </c>
      <c r="D43">
        <v>472354.33333333302</v>
      </c>
      <c r="E43">
        <v>2</v>
      </c>
      <c r="F43">
        <v>236177.16666666651</v>
      </c>
      <c r="G43">
        <v>213.43278209817709</v>
      </c>
      <c r="H43" s="16">
        <v>3.3517913939905204E-44</v>
      </c>
      <c r="I43">
        <v>3.0576206516493913</v>
      </c>
    </row>
    <row r="44" spans="3:13" x14ac:dyDescent="0.3">
      <c r="C44" t="s">
        <v>62</v>
      </c>
      <c r="D44">
        <v>162665</v>
      </c>
      <c r="E44">
        <v>147</v>
      </c>
      <c r="F44">
        <v>1106.5646258503402</v>
      </c>
    </row>
    <row r="46" spans="3:13" ht="15" thickBot="1" x14ac:dyDescent="0.35">
      <c r="C46" s="1" t="s">
        <v>36</v>
      </c>
      <c r="D46" s="1">
        <v>635019.33333333302</v>
      </c>
      <c r="E46" s="1">
        <v>149</v>
      </c>
      <c r="F46" s="1"/>
      <c r="G46" s="1"/>
      <c r="H46" s="1"/>
      <c r="I46" s="1"/>
    </row>
    <row r="49" spans="3:13" x14ac:dyDescent="0.3">
      <c r="C49" t="s">
        <v>27</v>
      </c>
    </row>
    <row r="50" spans="3:13" x14ac:dyDescent="0.3">
      <c r="C50" t="s">
        <v>48</v>
      </c>
    </row>
    <row r="52" spans="3:13" ht="15" thickBot="1" x14ac:dyDescent="0.35">
      <c r="C52" t="s">
        <v>49</v>
      </c>
      <c r="K52" t="s">
        <v>63</v>
      </c>
    </row>
    <row r="53" spans="3:13" x14ac:dyDescent="0.3">
      <c r="C53" s="15" t="s">
        <v>50</v>
      </c>
      <c r="D53" s="15" t="s">
        <v>19</v>
      </c>
      <c r="E53" s="15" t="s">
        <v>18</v>
      </c>
      <c r="F53" s="15" t="s">
        <v>51</v>
      </c>
      <c r="G53" s="15" t="s">
        <v>52</v>
      </c>
      <c r="K53" s="17" t="s">
        <v>64</v>
      </c>
      <c r="L53" s="17" t="s">
        <v>68</v>
      </c>
      <c r="M53" s="17" t="s">
        <v>70</v>
      </c>
    </row>
    <row r="54" spans="3:13" x14ac:dyDescent="0.3">
      <c r="C54" t="s">
        <v>4</v>
      </c>
      <c r="D54">
        <v>50</v>
      </c>
      <c r="E54">
        <v>3373</v>
      </c>
      <c r="F54">
        <v>67.459999999999994</v>
      </c>
      <c r="G54">
        <v>367.55959183673497</v>
      </c>
      <c r="K54" s="5" t="s">
        <v>65</v>
      </c>
      <c r="L54" s="5">
        <f>TTEST(Bank!R2:R51,Bank!S2:S51,2,2)</f>
        <v>2.1313346098837538E-9</v>
      </c>
      <c r="M54" s="5" t="str">
        <f>IF(L54&lt;=$L$59,"Significant","Insignificant")</f>
        <v>Significant</v>
      </c>
    </row>
    <row r="55" spans="3:13" x14ac:dyDescent="0.3">
      <c r="C55" t="s">
        <v>5</v>
      </c>
      <c r="D55">
        <v>50</v>
      </c>
      <c r="E55">
        <v>2137</v>
      </c>
      <c r="F55">
        <v>42.74</v>
      </c>
      <c r="G55">
        <v>334.15551020408157</v>
      </c>
      <c r="K55" s="5" t="s">
        <v>66</v>
      </c>
      <c r="L55" s="5">
        <f>TTEST(Bank!S2:S51,Bank!T2:T51,2,2)</f>
        <v>7.628661161389185E-11</v>
      </c>
      <c r="M55" s="5" t="str">
        <f>IF(L55&lt;=$L$59,"Significant","Insignificant")</f>
        <v>Significant</v>
      </c>
    </row>
    <row r="56" spans="3:13" ht="15" thickBot="1" x14ac:dyDescent="0.35">
      <c r="C56" s="1" t="s">
        <v>6</v>
      </c>
      <c r="D56" s="1">
        <v>50</v>
      </c>
      <c r="E56" s="1">
        <v>1126</v>
      </c>
      <c r="F56" s="1">
        <v>22.52</v>
      </c>
      <c r="G56" s="1">
        <v>49.397551020408152</v>
      </c>
      <c r="K56" s="5" t="s">
        <v>67</v>
      </c>
      <c r="L56" s="5">
        <f>TTEST(Bank!S2:S51,Bank!T2:T51,2,2)</f>
        <v>7.628661161389185E-11</v>
      </c>
      <c r="M56" s="5" t="str">
        <f>IF(L56&lt;=$L$59,"Significant","Insignificant")</f>
        <v>Significant</v>
      </c>
    </row>
    <row r="58" spans="3:13" x14ac:dyDescent="0.3">
      <c r="K58" t="s">
        <v>69</v>
      </c>
      <c r="L58">
        <v>5.0000000000000001E-3</v>
      </c>
    </row>
    <row r="59" spans="3:13" ht="15" thickBot="1" x14ac:dyDescent="0.35">
      <c r="C59" t="s">
        <v>53</v>
      </c>
      <c r="L59">
        <f>L58/3</f>
        <v>1.6666666666666668E-3</v>
      </c>
    </row>
    <row r="60" spans="3:13" x14ac:dyDescent="0.3">
      <c r="C60" s="15" t="s">
        <v>54</v>
      </c>
      <c r="D60" s="15" t="s">
        <v>55</v>
      </c>
      <c r="E60" s="15" t="s">
        <v>56</v>
      </c>
      <c r="F60" s="15" t="s">
        <v>57</v>
      </c>
      <c r="G60" s="15" t="s">
        <v>58</v>
      </c>
      <c r="H60" s="15" t="s">
        <v>59</v>
      </c>
      <c r="I60" s="15" t="s">
        <v>60</v>
      </c>
    </row>
    <row r="61" spans="3:13" x14ac:dyDescent="0.3">
      <c r="C61" t="s">
        <v>61</v>
      </c>
      <c r="D61">
        <v>50658.839999999989</v>
      </c>
      <c r="E61">
        <v>2</v>
      </c>
      <c r="F61">
        <v>25329.419999999995</v>
      </c>
      <c r="G61">
        <v>101.16759408898689</v>
      </c>
      <c r="H61">
        <v>2.3415992140096579E-28</v>
      </c>
      <c r="I61">
        <v>3.0576206516493913</v>
      </c>
    </row>
    <row r="62" spans="3:13" x14ac:dyDescent="0.3">
      <c r="C62" t="s">
        <v>62</v>
      </c>
      <c r="D62">
        <v>36804.519999999997</v>
      </c>
      <c r="E62">
        <v>147</v>
      </c>
      <c r="F62">
        <v>250.37088435374147</v>
      </c>
    </row>
    <row r="64" spans="3:13" ht="15" thickBot="1" x14ac:dyDescent="0.35">
      <c r="C64" s="1" t="s">
        <v>36</v>
      </c>
      <c r="D64" s="1">
        <v>87463.359999999986</v>
      </c>
      <c r="E64" s="1">
        <v>149</v>
      </c>
      <c r="F64" s="1"/>
      <c r="G64" s="1"/>
      <c r="H64" s="1"/>
      <c r="I64" s="1"/>
    </row>
    <row r="67" spans="3:3" x14ac:dyDescent="0.3">
      <c r="C67" t="s">
        <v>28</v>
      </c>
    </row>
    <row r="85" spans="3:10" x14ac:dyDescent="0.3">
      <c r="H85" s="5" t="s">
        <v>64</v>
      </c>
      <c r="I85" s="5" t="s">
        <v>71</v>
      </c>
      <c r="J85" s="5" t="s">
        <v>47</v>
      </c>
    </row>
    <row r="86" spans="3:10" x14ac:dyDescent="0.3">
      <c r="H86" s="5" t="s">
        <v>4</v>
      </c>
      <c r="I86" s="5">
        <v>0.88700000000000001</v>
      </c>
      <c r="J86" s="5" t="s">
        <v>72</v>
      </c>
    </row>
    <row r="87" spans="3:10" x14ac:dyDescent="0.3">
      <c r="H87" s="5" t="s">
        <v>5</v>
      </c>
      <c r="I87" s="5">
        <v>0.70399999999999996</v>
      </c>
      <c r="J87" s="5" t="s">
        <v>72</v>
      </c>
    </row>
    <row r="88" spans="3:10" x14ac:dyDescent="0.3">
      <c r="H88" s="5" t="s">
        <v>6</v>
      </c>
      <c r="I88" s="5">
        <v>0.29899999999999999</v>
      </c>
      <c r="J88" s="5" t="s">
        <v>73</v>
      </c>
    </row>
    <row r="91" spans="3:10" x14ac:dyDescent="0.3">
      <c r="C91" t="s">
        <v>29</v>
      </c>
    </row>
  </sheetData>
  <mergeCells count="2">
    <mergeCell ref="A2:Q2"/>
    <mergeCell ref="C4:D4"/>
  </mergeCells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35F335-E62B-4577-AB2E-A02148ADDD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 Nuramalia</dc:creator>
  <cp:lastModifiedBy>Salma Nuramalia</cp:lastModifiedBy>
  <dcterms:created xsi:type="dcterms:W3CDTF">2026-01-14T23:12:20Z</dcterms:created>
  <dcterms:modified xsi:type="dcterms:W3CDTF">2026-01-22T06:29:55Z</dcterms:modified>
</cp:coreProperties>
</file>